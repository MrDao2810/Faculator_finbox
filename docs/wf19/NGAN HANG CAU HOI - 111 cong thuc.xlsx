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 dan" sheetId="1" state="visible" r:id="rId3"/>
    <sheet name="Ngan hang cau hoi" sheetId="2" state="visible" r:id="rId4"/>
    <sheet name="Phu song" sheetId="3" state="visible" r:id="rId5"/>
    <sheet name="Ngu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<sst xmlns="http://schemas.openxmlformats.org/spreadsheetml/2006/main" count="4314" uniqueCount="1764">
  <si>
    <t xml:space="preserve">NGÂN HÀNG CÂU HỎI KIỂM TRA HIỂU BÀI — FALCULATOR FINBOX</t>
  </si>
  <si>
    <t xml:space="preserve">Lập ngày 23/09/2026 · dựng từ nguồn thật, không tự nghĩ ra ngộ nhận</t>
  </si>
  <si>
    <t xml:space="preserve">Nguyên tắc soạn</t>
  </si>
  <si>
    <t xml:space="preserve">Mỗi câu hỏi phải xuất phát từ một ngộ nhận hoặc quy định ĐỌC ĐƯỢC trong nguồn thật. Không có câu nào được nghĩ ra cho đủ số. Công thức không tìm thấy nguồn thì để trống — xem sheet "Phu song".</t>
  </si>
  <si>
    <t xml:space="preserve">Tầng bằng chứng</t>
  </si>
  <si>
    <t xml:space="preserve">A · Ngộ nhận có ghi chép thật (bài báo, diễn đàn, chuyên gia ghi nhận người ta hiểu sai thế nào)   |   B · Quy định hoặc chuẩn chuyên môn (văn bản pháp luật, biểu phí công bố, tài liệu chuẩn) — không phải ngộ nhận quan sát được, nhưng là kiến thức bắt buộc đúng.</t>
  </si>
  <si>
    <t xml:space="preserve">Loại nguồn</t>
  </si>
  <si>
    <t xml:space="preserve">trải nghiệm = người thật kể lại hoặc báo chí vụ việc  |  chuyên gia = phân tích viên, Damodaran, CFA, CTCK  |  giáo khoa = tài liệu dạy chuẩn  |  quy định = văn bản pháp luật, biểu phí</t>
  </si>
  <si>
    <t xml:space="preserve">Kiểu hiểu cần kiểm tra</t>
  </si>
  <si>
    <t xml:space="preserve">D1 · Đọc kết quả — con số này nói gì và KHÔNG nói gì</t>
  </si>
  <si>
    <t xml:space="preserve">D2 · Điều kiện áp dụng — trường hợp nào không dùng được công thức</t>
  </si>
  <si>
    <t xml:space="preserve">D3 · Quy ước tính toán — tham số, quy ước, thứ tự tính dễ sai</t>
  </si>
  <si>
    <t xml:space="preserve">D4 · Quy định thị trường VN — luật, phí, giới hạn của thị trường Việt Nam</t>
  </si>
  <si>
    <t xml:space="preserve">D5 · Hậu quả bằng tiền — quyết định sai thì mất bao nhiêu tiền</t>
  </si>
  <si>
    <t xml:space="preserve">Cách dùng</t>
  </si>
  <si>
    <t xml:space="preserve">Lọc cột "Kiểu hiểu" để lấy bộ câu cho từng công thức. Mỗi công thức nên chọn số câu theo tư liệu sẵn có, KHÔNG ép đủ 5 câu — xem doc đánh giá wireframe đi kèm.</t>
  </si>
  <si>
    <t xml:space="preserve">Cảnh báo trích dẫn</t>
  </si>
  <si>
    <t xml:space="preserve">Các câu trích trong cột Giải thích được lấy qua công cụ đọc trang, phần lớn là nguyên văn nhưng một số ít có thể đã bị diễn đạt lại. Trước khi in vào sản phẩm, mở lại URL nguồn kiểm chứng từng câu.</t>
  </si>
  <si>
    <t xml:space="preserve">Mã câu</t>
  </si>
  <si>
    <t xml:space="preserve">Nhóm</t>
  </si>
  <si>
    <t xml:space="preserve">Công thức (id)</t>
  </si>
  <si>
    <t xml:space="preserve">Mức</t>
  </si>
  <si>
    <t xml:space="preserve">Kiểu hiểu</t>
  </si>
  <si>
    <t xml:space="preserve">Câu hỏi</t>
  </si>
  <si>
    <t xml:space="preserve">A</t>
  </si>
  <si>
    <t xml:space="preserve">B</t>
  </si>
  <si>
    <t xml:space="preserve">C</t>
  </si>
  <si>
    <t xml:space="preserve">D</t>
  </si>
  <si>
    <t xml:space="preserve">Đáp án</t>
  </si>
  <si>
    <t xml:space="preserve">Giải thích</t>
  </si>
  <si>
    <t xml:space="preserve">Bối cảnh VN</t>
  </si>
  <si>
    <t xml:space="preserve">Nguồn (URL)</t>
  </si>
  <si>
    <t xml:space="preserve">Q001</t>
  </si>
  <si>
    <t xml:space="preserve">Định giá — bội số</t>
  </si>
  <si>
    <t xml:space="preserve">pe</t>
  </si>
  <si>
    <t xml:space="preserve">Cơ bản</t>
  </si>
  <si>
    <t xml:space="preserve">D1 · Đọc kết quả</t>
  </si>
  <si>
    <t xml:space="preserve">P/E của một doanh nghiệp thép là 12,5 trong khi trung bình ngành 18,0. Nhận định nào hợp lý nhất?</t>
  </si>
  <si>
    <t xml:space="preserve">Cổ phiếu đang rẻ hơn ngành, nên mua vào</t>
  </si>
  <si>
    <t xml:space="preserve">Doanh nghiệp làm ăn kém hơn trung bình ngành</t>
  </si>
  <si>
    <t xml:space="preserve">Chưa kết luận được — thép là ngành chu kỳ, P/E thấp thường rơi vào đỉnh lợi nhuận</t>
  </si>
  <si>
    <t xml:space="preserve">P/E thấp nghĩa là EPS đang âm</t>
  </si>
  <si>
    <t xml:space="preserve">Với cổ phiếu chu kỳ, quan hệ đảo ngược: P/E thấp là dấu hiệu ngành đã tới đỉnh. Dẫn Peter Lynch: “Với hầu hết các cổ phiếu, tỷ lệ P/E thấp được coi là một điều tốt lành, nhưng với các cổ phiếu chu kỳ thì điều này lại ngược lại”. HPG từng có P/E 3,41 sau khi giá đã giảm 59%.</t>
  </si>
  <si>
    <t xml:space="preserve">A · Ngộ nhận có ghi chép</t>
  </si>
  <si>
    <t xml:space="preserve">trải nghiệm</t>
  </si>
  <si>
    <t xml:space="preserve">Có</t>
  </si>
  <si>
    <t xml:space="preserve">https://cafef.vn/chuyen-nguoc-doi-nhung-co-that-p-e-thap-khong-phai-la-diem-hap-dan-cua-co-phieu-hoa-phat-2022100819552941.chn</t>
  </si>
  <si>
    <t xml:space="preserve">Q002</t>
  </si>
  <si>
    <t xml:space="preserve">GMD năm 2018 có P/E 4,42 lần ở giá 27.700 đồng. Trong 1.830 tỷ lợi nhuận có 1.350 tỷ từ bán tài sản. P/E cốt lõi xấp xỉ bao nhiêu?</t>
  </si>
  <si>
    <t xml:space="preserve">Vẫn 4,42 lần — lợi nhuận là lợi nhuận</t>
  </si>
  <si>
    <t xml:space="preserve">Khoảng 17 lần</t>
  </si>
  <si>
    <t xml:space="preserve">Khoảng 2 lần</t>
  </si>
  <si>
    <t xml:space="preserve">Không tính được nếu chưa có báo cáo kiểm toán</t>
  </si>
  <si>
    <t xml:space="preserve">Loại 1.350 tỷ lợi nhuận một lần, lợi nhuận cốt lõi còn khoảng 480 tỷ, P/E cốt lõi khoảng 17 lần — gấp gần 4 lần con số hiển thị. Nguồn kết luận: “P/E cốt lõi trong tương lai của doanh nghiệp mới là yếu tố cần quan tâm”.</t>
  </si>
  <si>
    <t xml:space="preserve">chuyên gia</t>
  </si>
  <si>
    <t xml:space="preserve">https://azfin.vn/p-e-thap-can-than-voi-bay-gia-tri/</t>
  </si>
  <si>
    <t xml:space="preserve">Q003</t>
  </si>
  <si>
    <t xml:space="preserve">D2 · Điều kiện áp dụng</t>
  </si>
  <si>
    <t xml:space="preserve">Doanh nghiệp báo lỗ, EPS bốn quý gần nhất là −1.200 đồng. App nên hiển thị P/E thế nào?</t>
  </si>
  <si>
    <t xml:space="preserve">P/E âm, càng âm sâu càng rẻ</t>
  </si>
  <si>
    <t xml:space="preserve">P/E = 0 vì không tính được</t>
  </si>
  <si>
    <t xml:space="preserve">Hiện “— , —” kèm cảnh báo kết quả không có ý nghĩa</t>
  </si>
  <si>
    <t xml:space="preserve">Lấy trị tuyệt đối của EPS rồi tính bình thường</t>
  </si>
  <si>
    <t xml:space="preserve">Khi EPS âm, P/E mất ý nghĩa so sánh. Nghịch lý được ghi nhận: P/E âm sâu hơn (−100) lại hàm ý khoản lỗ NHỎ hơn so với thị giá chứ không phải tệ hơn (−10) — tức con số không đọc theo trực giác được. Đây đúng là mã cảnh báo MEANINGLESS trong WarningCode.</t>
  </si>
  <si>
    <t xml:space="preserve">giáo khoa</t>
  </si>
  <si>
    <t xml:space="preserve">https://24hmoney.vn/news/chi-so-pe-5-su-that-gay-soc-ma-90-nha-dau-tu-bo-qua-c30a2690593.html</t>
  </si>
  <si>
    <t xml:space="preserve">Q004</t>
  </si>
  <si>
    <t xml:space="preserve">Hai doanh nghiệp cùng ngành, A có P/E thấp hơn B 24%. Điều gì có thể giải thích chênh lệch này mà không liên quan tới việc A rẻ hơn?</t>
  </si>
  <si>
    <t xml:space="preserve">A có đòn bẩy nợ cao hơn</t>
  </si>
  <si>
    <t xml:space="preserve">A có nhiều tiền mặt hơn</t>
  </si>
  <si>
    <t xml:space="preserve">A trả cổ tức đều hơn</t>
  </si>
  <si>
    <t xml:space="preserve">A có vốn hoá lớn hơn</t>
  </si>
  <si>
    <t xml:space="preserve">P/E chịu ảnh hưởng của cấu trúc vốn còn EV/EBITDA thì không. Nguồn ghi: “Higher leverage usually (but not always) results in a lower price earnings ratio, but this does not necessarily indicate a better value stock” — và dẫn cặp Greggs/Dominos cho tín hiệu ngược nhau giữa hai chỉ số.</t>
  </si>
  <si>
    <t xml:space="preserve">Không</t>
  </si>
  <si>
    <t xml:space="preserve">https://www.footnotesanalyst.com/relative-valuation-conflicts-ev-ebitda-versus-p-e/</t>
  </si>
  <si>
    <t xml:space="preserve">Q005</t>
  </si>
  <si>
    <t xml:space="preserve">Ngành nào sau đây P/E kém tác dụng nhất do đặc thù ghi nhận doanh thu?</t>
  </si>
  <si>
    <t xml:space="preserve">Ngân hàng</t>
  </si>
  <si>
    <t xml:space="preserve">Xây dựng</t>
  </si>
  <si>
    <t xml:space="preserve">Bán lẻ</t>
  </si>
  <si>
    <t xml:space="preserve">Điện</t>
  </si>
  <si>
    <t xml:space="preserve">Ngành xây dựng ghi nhận doanh thu theo tiến độ dự án nên lợi nhuận từng kỳ không phản ánh nhịp kinh doanh thật. Nguồn cũng nêu P/E hợp lý khác nhau theo ngành — ví dụ ngân hàng 12–14 lần.</t>
  </si>
  <si>
    <t xml:space="preserve">https://simplize.vn/learn/chi-so-pe</t>
  </si>
  <si>
    <t xml:space="preserve">Q006</t>
  </si>
  <si>
    <t xml:space="preserve">pb</t>
  </si>
  <si>
    <t xml:space="preserve">Một cổ phiếu ngân hàng có P/B 0,7 lần. Cách đọc nào đúng nhất?</t>
  </si>
  <si>
    <t xml:space="preserve">Chắc chắn rẻ vì mua tài sản dưới giá sổ sách</t>
  </si>
  <si>
    <t xml:space="preserve">Thị trường đang chiết khấu rủi ro chất lượng tài sản, cần soi nợ xấu</t>
  </si>
  <si>
    <t xml:space="preserve">Ngân hàng sắp phá sản</t>
  </si>
  <si>
    <t xml:space="preserve">P/B dưới 1 là lỗi dữ liệu</t>
  </si>
  <si>
    <t xml:space="preserve">Với ngân hàng, giá trị sổ sách chủ yếu là dư nợ cho vay. Nguồn cảnh báo: “khi nợ xấu tăng cao, giá trị thực tế của các khoản vay này có thể thấp hơn nhiều so với con số ghi chép trên sổ sách”, và nhắc nguyên tắc “Đừng bao giờ nhầm lẫn giữa rẻ và tốt”.</t>
  </si>
  <si>
    <t xml:space="preserve">https://vimo.cuthongthai.vn/blog/pb-ratio-bi-mat-dinh-gia-co-phieu-ngan-hang</t>
  </si>
  <si>
    <t xml:space="preserve">Q007</t>
  </si>
  <si>
    <t xml:space="preserve">Vì sao Damodaran nói mua dưới giá trị sổ sách không đảm bảo là mua rẻ?</t>
  </si>
  <si>
    <t xml:space="preserve">Vì giá trị sổ sách luôn bị khai thấp</t>
  </si>
  <si>
    <t xml:space="preserve">Vì giá trị sổ sách là một ý kiến kế toán, không phải giá trị thanh lý</t>
  </si>
  <si>
    <t xml:space="preserve">Vì P/B chỉ dùng được cho công ty Mỹ</t>
  </si>
  <si>
    <t xml:space="preserve">Vì thị trường luôn đúng</t>
  </si>
  <si>
    <t xml:space="preserve">Damodaran: “The book value is an opinion and not a fact”. Niềm tin “P/B &lt; 1 là rẻ” dựa trên hai giả định sai: thị trường kém tin cậy hơn kế toán, và giá trị sổ sách bằng giá trị thanh lý. Doanh nghiệp ROE thấp hoặc rủi ro cao xứng đáng giao dịch dưới book value.</t>
  </si>
  <si>
    <t xml:space="preserve">https://pages.stern.nyu.edu/~adamodar/pdfiles/invfables/ch4new.pdf</t>
  </si>
  <si>
    <t xml:space="preserve">Q008</t>
  </si>
  <si>
    <t xml:space="preserve">Loại doanh nghiệp nào khiến P/B trông đắt một cách sai lệch?</t>
  </si>
  <si>
    <t xml:space="preserve">Doanh nghiệp thép</t>
  </si>
  <si>
    <t xml:space="preserve">Công ty phần mềm và thương hiệu mạnh</t>
  </si>
  <si>
    <t xml:space="preserve">Công ty bất động sản</t>
  </si>
  <si>
    <t xml:space="preserve">Giá trị sổ sách chỉ ghi nhận tài sản hữu hình. Nguồn: P/B “KHÔNG phù hợp với những công ty có tài sản vô hình lớn (như các công ty phần mềm)” vì thương hiệu, bằng sáng chế, uy tín không nằm trên bảng cân đối.</t>
  </si>
  <si>
    <t xml:space="preserve">https://simplize.vn/learn/chi-so-pb</t>
  </si>
  <si>
    <t xml:space="preserve">Q009</t>
  </si>
  <si>
    <t xml:space="preserve">ps</t>
  </si>
  <si>
    <t xml:space="preserve">P/S của một doanh nghiệp thấp hơn hẳn đối thủ. Kết luận nào đúng?</t>
  </si>
  <si>
    <t xml:space="preserve">Cổ phiếu rẻ hơn</t>
  </si>
  <si>
    <t xml:space="preserve">Chỉ biết trả ít hơn cho mỗi đồng doanh thu, chưa biết gì về biên lợi nhuận và nợ</t>
  </si>
  <si>
    <t xml:space="preserve">Doanh thu đang giảm</t>
  </si>
  <si>
    <t xml:space="preserve">Doanh nghiệp sắp có lãi</t>
  </si>
  <si>
    <t xml:space="preserve">Nguồn: “A low P/S becomes shorthand for cheap. A high P/S becomes shorthand for overpriced. Both assumptions can be completely wrong” — và “They used the number as a final answer, not a starting point”.</t>
  </si>
  <si>
    <t xml:space="preserve">https://medium.com/@patrick_249/price-to-sales-the-most-misused-growth-investing-metric-e5b737c49aa3</t>
  </si>
  <si>
    <t xml:space="preserve">Q010</t>
  </si>
  <si>
    <t xml:space="preserve">ev</t>
  </si>
  <si>
    <t xml:space="preserve">D3 · Quy ước tính toán</t>
  </si>
  <si>
    <t xml:space="preserve">Vì sao Enterprise Value trừ đi tiền mặt?</t>
  </si>
  <si>
    <t xml:space="preserve">Vì tiền mặt không sinh lời</t>
  </si>
  <si>
    <t xml:space="preserve">Vì bên mua nhận luôn số tiền đó nên nó bù trừ vào giá phải trả</t>
  </si>
  <si>
    <t xml:space="preserve">Vì tiền mặt đã tính vào nợ</t>
  </si>
  <si>
    <t xml:space="preserve">Vì chuẩn kế toán yêu cầu</t>
  </si>
  <si>
    <t xml:space="preserve">Câu hỏi này xuất hiện thật trên diễn đàn tài chính: “i just dont understand the logic of how it would be cheaper to acquire a firm with a billion cash versus a firm with no cash”. Giải thích được chấp nhận: “the buyer would get the target company's cash as part of the deal, effectively lowering the price” — như trả 5 đô để nhận tờ 5 đô.</t>
  </si>
  <si>
    <t xml:space="preserve">https://www.wallstreetoasis.com/forum/off-topic/why-subtract-cash-when-we-calculate-enterprise-value</t>
  </si>
  <si>
    <t xml:space="preserve">Q011</t>
  </si>
  <si>
    <t xml:space="preserve">Bội số nào sau đây là ghép sai tử số với mẫu số?</t>
  </si>
  <si>
    <t xml:space="preserve">P/E</t>
  </si>
  <si>
    <t xml:space="preserve">EV/EBITDA</t>
  </si>
  <si>
    <t xml:space="preserve">P/EBITDA</t>
  </si>
  <si>
    <t xml:space="preserve">P/B</t>
  </si>
  <si>
    <t xml:space="preserve">Tử số vốn chủ (giá, vốn hoá) phải đi với mẫu số vốn chủ; mẫu số toàn doanh nghiệp (EBITDA, doanh thu) phải đi với EV. Damodaran gọi thẳng: “Price to EBITDA is an inconsistent abomination and Price to Sales is almost as badly constructed”.</t>
  </si>
  <si>
    <t xml:space="preserve">https://aswathdamodaran.blogspot.com/2020/04/a-viral-market-update-vii-mayhem-with.html</t>
  </si>
  <si>
    <t xml:space="preserve">Q012</t>
  </si>
  <si>
    <t xml:space="preserve">ev-ebitda</t>
  </si>
  <si>
    <t xml:space="preserve">Nâng cao</t>
  </si>
  <si>
    <t xml:space="preserve">Vì sao Buffett và Munger phản đối dùng EBITDA làm thước đo dòng tiền?</t>
  </si>
  <si>
    <t xml:space="preserve">Vì EBITDA khó tính</t>
  </si>
  <si>
    <t xml:space="preserve">Vì EBITDA bỏ qua lãi vay, thuế và capex duy trì — đều là chi phí thật</t>
  </si>
  <si>
    <t xml:space="preserve">Vì EBITDA chỉ dùng cho công ty niêm yết</t>
  </si>
  <si>
    <t xml:space="preserve">Vì EBITDA thay đổi theo chuẩn kế toán</t>
  </si>
  <si>
    <t xml:space="preserve">Munger: “every time you see the word EBITDA, you should substitute the word bullshit earnings”. Buffett: “Telecoms, for example, spend every dime that's coming in. Interest and taxes are real costs”. Doanh nghiệp EBITDA 2 triệu mà phải chi 2 triệu mua thiết bị mỗi năm thì không sinh lời cho chủ sở hữu.</t>
  </si>
  <si>
    <t xml:space="preserve">https://www.permanentequity.com/content/ebitda-is-bs-earnings</t>
  </si>
  <si>
    <t xml:space="preserve">Q013</t>
  </si>
  <si>
    <t xml:space="preserve">EBITDA bỏ sót yếu tố nào khiến nó không thay thế được dòng tiền?</t>
  </si>
  <si>
    <t xml:space="preserve">Thay đổi vốn lưu động và dòng tiền đầu tư</t>
  </si>
  <si>
    <t xml:space="preserve">Doanh thu tài chính</t>
  </si>
  <si>
    <t xml:space="preserve">Lợi nhuận gộp</t>
  </si>
  <si>
    <t xml:space="preserve">Chi phí bán hàng</t>
  </si>
  <si>
    <t xml:space="preserve">Nguồn tiếng Việt: “EBITDA là một chỉ tiêu quan trọng trong đánh giá khả năng sinh lời của doanh nghiệp, tuy nhiên, nó không phải là thước đo để đánh giá dòng tiền của doanh nghiệp” — do không tính thay đổi vốn lưu động, dòng tiền đầu tư và tài chính.</t>
  </si>
  <si>
    <t xml:space="preserve">https://simplize.vn/learn/ev-ebitda</t>
  </si>
  <si>
    <t xml:space="preserve">Q014</t>
  </si>
  <si>
    <t xml:space="preserve">ev-sales</t>
  </si>
  <si>
    <t xml:space="preserve">Sai lầm cốt lõi khi so EV/Sales giữa hai doanh nghiệp khác mô hình kinh doanh là gì?</t>
  </si>
  <si>
    <t xml:space="preserve">Quên trừ tiền mặt</t>
  </si>
  <si>
    <t xml:space="preserve">Ngầm tin rằng mọi đồng doanh thu đều có khả năng sinh lời như nhau</t>
  </si>
  <si>
    <t xml:space="preserve">Dùng doanh thu năm cũ</t>
  </si>
  <si>
    <t xml:space="preserve">Không điều chỉnh lạm phát</t>
  </si>
  <si>
    <t xml:space="preserve">Nguồn chỉ ra lỗi gốc là tin “all dollars of revenue are equal in their profit generation potential”, và nhắc rằng chỉ tiêu càng nằm trên cao trong báo cáo kết quả kinh doanh thì càng ít nói về dòng tiền tương lai. Hai doanh nghiệp biên gộp khác hẳn nhau xứng đáng có EV/Sales khác hẳn nhau.</t>
  </si>
  <si>
    <t xml:space="preserve">https://www.sleeperthoughts.com/post/why-evrev-is-bad</t>
  </si>
  <si>
    <t xml:space="preserve">Q015</t>
  </si>
  <si>
    <t xml:space="preserve">peg</t>
  </si>
  <si>
    <t xml:space="preserve">PEG = 0,8. Vì sao đây chưa phải bằng chứng cổ phiếu là món hời?</t>
  </si>
  <si>
    <t xml:space="preserve">Vì PEG chỉ dùng cho công ty Mỹ</t>
  </si>
  <si>
    <t xml:space="preserve">Vì PEG không tính giá trị thời gian của tiền và không giả định gì về tái đầu tư</t>
  </si>
  <si>
    <t xml:space="preserve">Vì PEG luôn nhỏ hơn 1</t>
  </si>
  <si>
    <t xml:space="preserve">Vì PEG cần P/E trên 20 mới có nghĩa</t>
  </si>
  <si>
    <t xml:space="preserve">Nguồn: “The PEG ratio doesn't account for the time value of money” và “you still need much more massive earnings growth than the PEG ratio would imply you need”. Mức tăng trưởng cần để hoà vốn lớn hơn nhiều so với điều PEG gợi ý.</t>
  </si>
  <si>
    <t xml:space="preserve">https://www.fa-mag.com/news/the-fallacy-of-peg-ratios-6544.html</t>
  </si>
  <si>
    <t xml:space="preserve">Q016</t>
  </si>
  <si>
    <t xml:space="preserve">Rủi ro lớn nhất khi lấy tốc độ tăng trưởng mấy năm gần nhất làm G trong PEG là gì?</t>
  </si>
  <si>
    <t xml:space="preserve">G quá khứ luôn thấp hơn thực tế</t>
  </si>
  <si>
    <t xml:space="preserve">PEG thừa hưởng toàn bộ sai số của một con số không ai dự báo nổi</t>
  </si>
  <si>
    <t xml:space="preserve">G phải tính theo quý</t>
  </si>
  <si>
    <t xml:space="preserve">G không được vượt 10%</t>
  </si>
  <si>
    <t xml:space="preserve">Nguồn tiếng Việt: “không có 1 công thức cụ thể nào giúp xác định chính xác con số này”, và với G quá khứ cao thì đặt câu hỏi ngược: “bạn có dám chắc, con số 50% này sẽ kéo dài trong dài hạn?”</t>
  </si>
  <si>
    <t xml:space="preserve">https://govalue.vn/chi-so-peg/</t>
  </si>
  <si>
    <t xml:space="preserve">Q017</t>
  </si>
  <si>
    <t xml:space="preserve">von-hoa-thi-truong</t>
  </si>
  <si>
    <t xml:space="preserve">Mã A giá 8.000 đồng, mã B giá 120.000 đồng. Kết luận nào đúng?</t>
  </si>
  <si>
    <t xml:space="preserve">A rẻ hơn B</t>
  </si>
  <si>
    <t xml:space="preserve">B là doanh nghiệp lớn hơn</t>
  </si>
  <si>
    <t xml:space="preserve">Không kết luận được gì — thị giá phụ thuộc số cổ phiếu lưu hành</t>
  </si>
  <si>
    <t xml:space="preserve">A có thanh khoản tốt hơn</t>
  </si>
  <si>
    <t xml:space="preserve">Đây là “ảo giác giá rẻ” mà CTCK Phú Hưng cảnh báo: “thị giá thấp không đồng nghĩa với cổ phiếu rẻ nếu giá trị nội tại không tương xứng”; đánh giá chỉ dựa trên thị giá mà bỏ qua EPS, ROE hay năng lực tạo dòng tiền “có thể khiến nhà đầu tư dễ rơi vào bẫy định giá”.</t>
  </si>
  <si>
    <t xml:space="preserve">https://www.phs.vn/tin-tuc/bung-no-co-phieu-luu-hanh-va-bai-toan-giu-gia-tri-that-cho-nha-dau-tu/6312838</t>
  </si>
  <si>
    <t xml:space="preserve">Q018</t>
  </si>
  <si>
    <t xml:space="preserve">D5 · Hậu quả bằng tiền</t>
  </si>
  <si>
    <t xml:space="preserve">Bạn nhận cổ phiếu thưởng tỷ lệ 20%. Tài sản của bạn thay đổi thế nào ngay tại thời điểm đó?</t>
  </si>
  <si>
    <t xml:space="preserve">Tăng 20%</t>
  </si>
  <si>
    <t xml:space="preserve">Không đổi — giá tham chiếu bị điều chỉnh tương ứng</t>
  </si>
  <si>
    <t xml:space="preserve">Giảm 20%</t>
  </si>
  <si>
    <t xml:space="preserve">Tăng 20% nhưng phải nộp thuế 5%</t>
  </si>
  <si>
    <t xml:space="preserve">Không có dòng tiền mới vào doanh nghiệp. Nguồn cảnh báo hệ quả dài hạn: “Khi số lượng cổ phiếu tăng quá nhanh và quá nhiều, giá trị lợi nhuận trên mỗi cổ phần (EPS) giảm sút... có thể làm thị giá cổ phiếu bị điều chỉnh, thậm chí lao dốc nếu kết quả kinh doanh không cải thiện tương ứng”.</t>
  </si>
  <si>
    <t xml:space="preserve">Q019</t>
  </si>
  <si>
    <t xml:space="preserve">so-graham</t>
  </si>
  <si>
    <t xml:space="preserve">Cách dùng Số Graham bị phê phán nhiều nhất là gì?</t>
  </si>
  <si>
    <t xml:space="preserve">Dùng một mình, tách khỏi các tiêu chí phòng thủ còn lại</t>
  </si>
  <si>
    <t xml:space="preserve">Dùng cho công ty công nghệ</t>
  </si>
  <si>
    <t xml:space="preserve">Dùng hệ số 22,5</t>
  </si>
  <si>
    <t xml:space="preserve">Dùng EPS thay vì EBIT</t>
  </si>
  <si>
    <t xml:space="preserve">Nguồn: “The most common misuse of the Graham Number today is that it's used in isolation almost everywhere, while the five other supporting criteria for Defensive stock selection are completely ignored”. Dùng Số Graham của một năm duy nhất “is not only excessively simplistic, but also potentially dangerous”.</t>
  </si>
  <si>
    <t xml:space="preserve">https://www.grahamvalue.com/article/using-graham-number-correctly</t>
  </si>
  <si>
    <t xml:space="preserve">Q020</t>
  </si>
  <si>
    <t xml:space="preserve">ncav-tren-co-phieu</t>
  </si>
  <si>
    <t xml:space="preserve">Bạn tìm được 2 cổ phiếu giá thấp hơn NCAV/cp và định dồn tiền vào đó. Vấn đề là gì?</t>
  </si>
  <si>
    <t xml:space="preserve">NCAV chỉ dùng cho công ty lớn</t>
  </si>
  <si>
    <t xml:space="preserve">Phương pháp chỉ cho kết quả thống kê khi phân tán ít nhất khoảng 20 mã</t>
  </si>
  <si>
    <t xml:space="preserve">NCAV phải tính theo quý</t>
  </si>
  <si>
    <t xml:space="preserve">Không có vấn đề gì</t>
  </si>
  <si>
    <t xml:space="preserve">Nguồn: “Most of them deserve their very low prices” và “The method works better with significant diversification, at least 20 net-net value stocks, to reap the statistical returns”. Công thức NCAV đơn giản còn bỏ sót nợ ngoài bảng cân đối, chỉ thuyết minh mới ghi.</t>
  </si>
  <si>
    <t xml:space="preserve">https://www.netnethunter.com/grahams-net-current-assets-formula/</t>
  </si>
  <si>
    <t xml:space="preserve">Q021</t>
  </si>
  <si>
    <t xml:space="preserve">ty-suat-loi-nhuan-tren-gia</t>
  </si>
  <si>
    <t xml:space="preserve">P/E thị trường Việt Nam 16,5 lần, thấp hơn Philippines và Indonesia trên 20 lần. Cách so sánh đúng là gì?</t>
  </si>
  <si>
    <t xml:space="preserve">Kết luận chứng khoán VN rẻ hơn</t>
  </si>
  <si>
    <t xml:space="preserve">Đổi sang E/P rồi đặt cạnh lãi suất phi rủi ro của chính nước đó</t>
  </si>
  <si>
    <t xml:space="preserve">So thêm P/B</t>
  </si>
  <si>
    <t xml:space="preserve">So theo vốn hoá thị trường</t>
  </si>
  <si>
    <t xml:space="preserve">Bài trên Vietstock gọi so P/E thuần giữa các thị trường là sai lầm về bản chất. Khi đổi sang E/P, Việt Nam chỉ cho 6,1% — thấp hơn lãi suất tiết kiệm khoảng 6,5%, tức kênh cổ phiếu không hấp dẫn hơn gửi tiết kiệm. Bản gốc đặt tiêu đề đây là sai lầm phổ biến ở giới chuyên gia.</t>
  </si>
  <si>
    <t xml:space="preserve">https://vietstock.vn/2017/09/so-sanh-pe-thuan-giua-cac-thi-truong-nha-dau-tu-can-hieu-ban-chat-3355-559371.htm</t>
  </si>
  <si>
    <t xml:space="preserve">Q022</t>
  </si>
  <si>
    <t xml:space="preserve">gia-muc-tieu</t>
  </si>
  <si>
    <t xml:space="preserve">Báo cáo phân tích khuyến nghị MUA với giá mục tiêu 73.000 đồng, thị giá hiện tại 52.000. Cách hiểu đúng?</t>
  </si>
  <si>
    <t xml:space="preserve">Cổ phiếu sẽ đạt 73.000 trong 12 tháng</t>
  </si>
  <si>
    <t xml:space="preserve">Đây là ước lượng có điều kiện, và chính CTCK từ chối trách nhiệm trong phần miễn trừ</t>
  </si>
  <si>
    <t xml:space="preserve">Công ty chứng khoán cam kết mức giá đó</t>
  </si>
  <si>
    <t xml:space="preserve">Nên mua vì chênh lệch 40%</t>
  </si>
  <si>
    <t xml:space="preserve">Trường hợp thật: TLG được TPS khuyến nghị mua “lợi nhuận kỳ vọng 36%”, giá mục tiêu 73.000 đồng trong khi cổ phiếu cả năm dao động 45.000–55.000. Điều khoản miễn trừ ghi “TPS sẽ không chịu trách nhiệm đối với tất cả thiệt hại nào”.</t>
  </si>
  <si>
    <t xml:space="preserve">https://thanhtra.com.vn/kinh-doanh-A08BE54D6/bai-1-phat-sot-voi-nhung-khuyen-nghi-mua-chung-khoan-loi-nhuan-ky-vong--EE057B864.html</t>
  </si>
  <si>
    <t xml:space="preserve">Q023</t>
  </si>
  <si>
    <t xml:space="preserve">CTCK nâng giá mục tiêu một cổ phiếu. Lý do nào KHÔNG liên quan tới nội tại doanh nghiệp?</t>
  </si>
  <si>
    <t xml:space="preserve">Lợi nhuận quý vượt dự báo</t>
  </si>
  <si>
    <t xml:space="preserve">Giảm lãi suất chiết khấu trong mô hình</t>
  </si>
  <si>
    <t xml:space="preserve">Ký được hợp đồng lớn</t>
  </si>
  <si>
    <t xml:space="preserve">Biên lợi nhuận cải thiện</t>
  </si>
  <si>
    <t xml:space="preserve">Nguồn: “Đằng sau mỗi lần nâng giá mục tiêu... có thể là do đánh giá lại triển vọng lợi nhuận, cũng có thể do giảm lãi suất chiết khấu”, cộng áp lực đi theo thị trường: “việc làm người cô đơn, giữ nguyên định giá cũ trong khi cả thị trường đã nâng đánh giá là không dễ”.</t>
  </si>
  <si>
    <t xml:space="preserve">https://www.tinnhanhchungkhoan.vn/rui-ro-khi-chay-theo-khuyen-nghi-dinh-gia-cua-chuyen-gia-phan-tich-post271706.html</t>
  </si>
  <si>
    <t xml:space="preserve">Q024</t>
  </si>
  <si>
    <t xml:space="preserve">Định giá — chiết khấu dòng tiền</t>
  </si>
  <si>
    <t xml:space="preserve">mo-hinh-gordon</t>
  </si>
  <si>
    <t xml:space="preserve">Trong mô hình Gordon, vì sao g không được vượt tốc độ tăng trưởng của nền kinh tế?</t>
  </si>
  <si>
    <t xml:space="preserve">Vì quy định kế toán</t>
  </si>
  <si>
    <t xml:space="preserve">Vì đó là ràng buộc toán học, không phải giả định kinh tế để tranh luận</t>
  </si>
  <si>
    <t xml:space="preserve">Vì g cao làm tăng rủi ro</t>
  </si>
  <si>
    <t xml:space="preserve">Vì nhà đầu tư không tin g cao</t>
  </si>
  <si>
    <t xml:space="preserve">Damodaran: “This is not a debatable assumption, since it is mathematical, not one that owes its presence to economic theory”. Khi g tiến sát r, giá trị tiến tới vô cực rồi lật sang âm.</t>
  </si>
  <si>
    <t xml:space="preserve">https://aswathdamodaran.substack.com/p/myth-52-as-g-rto-infinity-and-beyond-16-11-30</t>
  </si>
  <si>
    <t xml:space="preserve">Q025</t>
  </si>
  <si>
    <t xml:space="preserve">Bạn nâng g từ 3% lên 5% trong công thức Gordon nhưng giữ nguyên dòng tiền năm cuối. Sai ở đâu?</t>
  </si>
  <si>
    <t xml:space="preserve">Không sai, đó là phân tích độ nhạy</t>
  </si>
  <si>
    <t xml:space="preserve">Tăng trưởng phải trả giá bằng tái đầu tư nên dòng tiền không thể giữ nguyên</t>
  </si>
  <si>
    <t xml:space="preserve">g phải là số nguyên</t>
  </si>
  <si>
    <t xml:space="preserve">Phải đổi cả lãi suất phi rủi ro</t>
  </si>
  <si>
    <t xml:space="preserve">Damodaran: “Growth is not free and it has to be paid for with reinvestment... you cannot leave cash flows fixed and change the growth rate”. Và: “It is not the growth rate per se, but the excess returns... that drives value”.</t>
  </si>
  <si>
    <t xml:space="preserve">https://aswathdamodaran.substack.com/p/myth-53-growth-is-good-more-growth-16-11-30</t>
  </si>
  <si>
    <t xml:space="preserve">Q026</t>
  </si>
  <si>
    <t xml:space="preserve">Ở giai đoạn ổn định, nhiều người đặt CapEx = khấu hao và bỏ qua thay đổi vốn lưu động. Hệ quả là gì?</t>
  </si>
  <si>
    <t xml:space="preserve">Mô hình chính xác hơn</t>
  </si>
  <si>
    <t xml:space="preserve">Tỷ lệ tái đầu tư thành 0 mà doanh nghiệp vẫn tăng trưởng mãi — giả định vô lý</t>
  </si>
  <si>
    <t xml:space="preserve">Giá trị cuối kỳ bằng 0</t>
  </si>
  <si>
    <t xml:space="preserve">Không ảnh hưởng gì</t>
  </si>
  <si>
    <t xml:space="preserve">Damodaran mô tả đúng hành vi này: “Analysts seems to be willing to assume that when you get to stable growth, you can set capital expenditures = depreciation, ignore working capital changes and effectively make the reinvestment rate zero, while allowing the firm to continue growing”.</t>
  </si>
  <si>
    <t xml:space="preserve">Q027</t>
  </si>
  <si>
    <t xml:space="preserve">ddm-hai-giai-doan</t>
  </si>
  <si>
    <t xml:space="preserve">Mô hình cho doanh nghiệp tăng 30%/năm trong 5 năm rồi rơi xuống 6% vĩnh viễn từ năm thứ 6. Damodaran đánh giá thế nào?</t>
  </si>
  <si>
    <t xml:space="preserve">Đây là chuẩn mực ngành</t>
  </si>
  <si>
    <t xml:space="preserve">Bước chuyển đột ngột này gần như chắc chắn không thực tế</t>
  </si>
  <si>
    <t xml:space="preserve">Chỉ đúng với công ty công nghệ</t>
  </si>
  <si>
    <t xml:space="preserve">Cần kéo dài giai đoạn 1 lên 10 năm là đủ</t>
  </si>
  <si>
    <t xml:space="preserve">Damodaran: “the model assumes that the firm may be growing at 30% for five years only to then grow at 6% (stable growth) until eternity. Is this realistic? Probably not”.</t>
  </si>
  <si>
    <t xml:space="preserve">https://pages.stern.nyu.edu/adamodar/New_Home_Page/articles/ddm.htm</t>
  </si>
  <si>
    <t xml:space="preserve">Q028</t>
  </si>
  <si>
    <t xml:space="preserve">Doanh nghiệp nào KHÔNG dùng được mô hình chiết khấu cổ tức?</t>
  </si>
  <si>
    <t xml:space="preserve">Doanh nghiệp trả cổ tức đều nhiều năm</t>
  </si>
  <si>
    <t xml:space="preserve">Doanh nghiệp không trả cổ tức hoặc tỷ lệ chi trả thất thường</t>
  </si>
  <si>
    <t xml:space="preserve">Doanh nghiệp tăng trưởng chậm</t>
  </si>
  <si>
    <t xml:space="preserve">Doanh nghiệp ngành tiện ích</t>
  </si>
  <si>
    <t xml:space="preserve">ASEAN Securities: “không thể sử dụng nó cho bất kỳ công ty nào không trả cổ tức”, “thật khó để sử dụng mô hình này cho các công ty mới bắt đầu trả cổ tức hoặc có tỷ lệ chi trả cổ tức không nhất quán”. Vietstock: DDM “phù hợp để định giá các doanh nghiệp có tốc độ tăng trưởng chậm, chính sách trả cổ tức đều đặn”.</t>
  </si>
  <si>
    <t xml:space="preserve">https://www.aseansc.com.vn/mo-hinh-chiet-khau-co-tuc-dinh-gia-co-phieu/</t>
  </si>
  <si>
    <t xml:space="preserve">Q029</t>
  </si>
  <si>
    <t xml:space="preserve">capm</t>
  </si>
  <si>
    <t xml:space="preserve">Bạn tra beta của cùng một cổ phiếu trên ba trang tài chính và ra ba số khác nhau. Vì sao?</t>
  </si>
  <si>
    <t xml:space="preserve">Một trong ba trang bị lỗi</t>
  </si>
  <si>
    <t xml:space="preserve">Các trang dùng mốc thời gian và chỉ số tham chiếu khác nhau</t>
  </si>
  <si>
    <t xml:space="preserve">Beta thay đổi theo giờ giao dịch</t>
  </si>
  <si>
    <t xml:space="preserve">Do làm tròn</t>
  </si>
  <si>
    <t xml:space="preserve">Nguồn tiếng Việt ghi nhận đúng hiện tượng này: “Thường thì mấy trang web tài chính chứng khoán có kết quả tính hệ số Beta khá cách biệt”, và khuyên “bạn đừng cứng nhắc chỉ bám vào beta”. Damodaran bổ sung: sai số chuẩn của beta khoảng 0,20 nên beta 1,10 có thể thật sự nằm trong 0,70–1,50.</t>
  </si>
  <si>
    <t xml:space="preserve">https://cophieux.com/he-so-beta/</t>
  </si>
  <si>
    <t xml:space="preserve">Q030</t>
  </si>
  <si>
    <t xml:space="preserve">Doanh nghiệp đăng ký tại Việt Nam nhưng 80% doanh thu từ Mỹ và châu Âu. Phần bù rủi ro quốc gia nên tính thế nào?</t>
  </si>
  <si>
    <t xml:space="preserve">Cộng nguyên phần bù rủi ro Việt Nam</t>
  </si>
  <si>
    <t xml:space="preserve">Theo nơi doanh nghiệp hoạt động, không theo nơi đăng ký</t>
  </si>
  <si>
    <t xml:space="preserve">Bỏ qua vì đã có beta</t>
  </si>
  <si>
    <t xml:space="preserve">Lấy trung bình các nước</t>
  </si>
  <si>
    <t xml:space="preserve">Damodaran: “the exposure to country risk comes from where a company operates, not where it is incorporated”, và “Not all companies or projects are average risk”. Ông cũng cảnh báo tính trùng: doanh nghiệp ở nước có rủi ro vỡ nợ dễ bị gánh hai lần phần bù.</t>
  </si>
  <si>
    <t xml:space="preserve">https://aswathdamodaran.substack.com/p/country-risk-2025-the-story-behind</t>
  </si>
  <si>
    <t xml:space="preserve">Q031</t>
  </si>
  <si>
    <t xml:space="preserve">Nhận định “beta đã bị chứng minh là vô dụng” đúng tới đâu theo nghiên cứu của CFA Institute?</t>
  </si>
  <si>
    <t xml:space="preserve">Hoàn toàn đúng</t>
  </si>
  <si>
    <t xml:space="preserve">Không hẳn — danh mục beta cao vượt danh mục beta thấp hơn 5 điểm phần trăm/năm, và 2010–2020 CAPM đúng 10/11 năm</t>
  </si>
  <si>
    <t xml:space="preserve">Beta chỉ sai ở thị trường mới nổi</t>
  </si>
  <si>
    <t xml:space="preserve">Chưa ai kiểm chứng</t>
  </si>
  <si>
    <t xml:space="preserve">CFA Institute: “beta is not as bad a predictor of future returns as is often thought”; “a high beta portfolio generated slightly more than 5 percentage point premium over its low beta peer on an annualized basis”; “From 2010 to 2020, CAPM was right in 10 of the 11 years”. Thập niên 1980 mới là giai đoạn beta thất bại.</t>
  </si>
  <si>
    <t xml:space="preserve">https://rpc.cfainstitute.org/blogs/enterprising-investor/2021/revisiting-beta-how-well-has-beta-predicted-returns</t>
  </si>
  <si>
    <t xml:space="preserve">Q032</t>
  </si>
  <si>
    <t xml:space="preserve">wacc</t>
  </si>
  <si>
    <t xml:space="preserve">“Tôi muốn lãi 15% nên chiết khấu ở 15%”. Damodaran nói gì về cách làm này?</t>
  </si>
  <si>
    <t xml:space="preserve">Hợp lý nếu đó là mục tiêu đầu tư</t>
  </si>
  <si>
    <t xml:space="preserve">Mức lợi nhuận bạn muốn không phải là chi phí vốn của bạn</t>
  </si>
  <si>
    <t xml:space="preserve">Chỉ sai khi lãi suất thấp</t>
  </si>
  <si>
    <t xml:space="preserve">Đúng với nhà đầu tư cá nhân</t>
  </si>
  <si>
    <t xml:space="preserve">Damodaran: “The fact that you would like to make 15% is nice but it is not your cost of capital” và “A cost of capital is not that discount rate that yields a value you would like to see”. Ông cũng nhắc tỷ lệ chiết khấu “definitely not the most critical” input trong DCF.</t>
  </si>
  <si>
    <t xml:space="preserve">https://pages.stern.nyu.edu/~adamodar/pdfiles/country/CostofCapitalShort2022.pdf</t>
  </si>
  <si>
    <t xml:space="preserve">Q033</t>
  </si>
  <si>
    <t xml:space="preserve">Tập đoàn đa ngành dùng một WACC chung cho mọi dự án. Hậu quả là gì?</t>
  </si>
  <si>
    <t xml:space="preserve">Tiết kiệm thời gian, không hại gì</t>
  </si>
  <si>
    <t xml:space="preserve">Mảng an toàn đi trợ giá cho mảng rủi ro</t>
  </si>
  <si>
    <t xml:space="preserve">WACC bị tính thấp đi</t>
  </si>
  <si>
    <t xml:space="preserve">Chỉ ảnh hưởng báo cáo, không ảnh hưởng quyết định</t>
  </si>
  <si>
    <t xml:space="preserve">Damodaran: “If you use the cost of capital of the company as your hurdle rate for all investments, risky investments (and businesses) will be subsidized by safe investments”, và gọi “tỷ lệ rào cản cấp công ty” là một huyền thoại.</t>
  </si>
  <si>
    <t xml:space="preserve">Q034</t>
  </si>
  <si>
    <t xml:space="preserve">Bạn tính ra WACC 9% nhưng thấy “thấp quá” nên cộng thêm 3% cho chắc. Đánh giá?</t>
  </si>
  <si>
    <t xml:space="preserve">Thận trọng là tốt</t>
  </si>
  <si>
    <t xml:space="preserve">Đây là cộng phần bù không căn cứ, chỉ vì con số trông không vừa mắt</t>
  </si>
  <si>
    <t xml:space="preserve">Đúng nếu thị trường biến động</t>
  </si>
  <si>
    <t xml:space="preserve">Chỉ sai khi cộng quá 5%</t>
  </si>
  <si>
    <t xml:space="preserve">Damodaran ghi nhận đúng hành vi này — nhà phân tích cộng phần bù vì “the discount rate that I am getting looks too low” — và kết luận “making up hurdle rates (higher or lower than the market-conscious number) is almost never a good idea”.</t>
  </si>
  <si>
    <t xml:space="preserve">https://aswathdamodaran.blogspot.com/2025/02/data-update-6-for-2025-from-macro-to.html</t>
  </si>
  <si>
    <t xml:space="preserve">Q035</t>
  </si>
  <si>
    <t xml:space="preserve">fcff</t>
  </si>
  <si>
    <t xml:space="preserve">FCFF phải chiết khấu bằng tỷ lệ nào và cho ra giá trị gì?</t>
  </si>
  <si>
    <t xml:space="preserve">Chi phí vốn chủ — ra giá trị vốn chủ</t>
  </si>
  <si>
    <t xml:space="preserve">WACC — ra giá trị doanh nghiệp, còn phải trừ nợ</t>
  </si>
  <si>
    <t xml:space="preserve">Lãi suất phi rủi ro — ra giá trị doanh nghiệp</t>
  </si>
  <si>
    <t xml:space="preserve">WACC — ra thẳng giá trị vốn chủ</t>
  </si>
  <si>
    <t xml:space="preserve">FCFF là dòng tiền của mọi bên nên chiết khấu bằng WACC: “the weighted average cost of capital (WACC) is the appropriate discount rate”. Shinhan Securities VN: FCFF cho ra “giá trị doanh nghiệp (bao gồm giá trị của chủ nợ và chủ sở hữu)” — muốn ra vốn chủ phải trừ nợ.</t>
  </si>
  <si>
    <t xml:space="preserve">https://www.wallstreetprep.com/knowledge/common-errors-in-dcf-models/</t>
  </si>
  <si>
    <t xml:space="preserve">Q036</t>
  </si>
  <si>
    <t xml:space="preserve">Cộng khấu hao ngược vào lợi nhuận đã ra dòng tiền tự do chưa?</t>
  </si>
  <si>
    <t xml:space="preserve">Rồi</t>
  </si>
  <si>
    <t xml:space="preserve">Chưa — đó chỉ là một điểm dừng trung gian</t>
  </si>
  <si>
    <t xml:space="preserve">Chỉ đúng với doanh nghiệp sản xuất</t>
  </si>
  <si>
    <t xml:space="preserve">Chỉ đúng nếu không có nợ</t>
  </si>
  <si>
    <t xml:space="preserve">Damodaran: “adding back depreciation to earnings gives you free cash flow, an intermediate stop, at best”. Ông còn gọi “free cash flow” là “one of the most dangerous terms in finance” vì bị bẻ cong tuỳ ý.</t>
  </si>
  <si>
    <t xml:space="preserve">https://aswathdamodaran.blogspot.com/2022/10/earnings-and-cash-flows-primer-on-free.html</t>
  </si>
  <si>
    <t xml:space="preserve">Q037</t>
  </si>
  <si>
    <t xml:space="preserve">fcfe</t>
  </si>
  <si>
    <t xml:space="preserve">Doanh nghiệp trẻ tăng trưởng nhanh có FCFE âm nhiều năm. Kết luận nào hợp lý?</t>
  </si>
  <si>
    <t xml:space="preserve">Loại ngay vì dòng tiền âm</t>
  </si>
  <si>
    <t xml:space="preserve">Có thể do tái đầu tư nhiều hơn số kiếm được — một năm FCF còn nhiễu hơn một năm lợi nhuận</t>
  </si>
  <si>
    <t xml:space="preserve">Doanh nghiệp đang gian lận</t>
  </si>
  <si>
    <t xml:space="preserve">FCFE âm là lỗi tính toán</t>
  </si>
  <si>
    <t xml:space="preserve">Damodaran: “a single year's free cash flow actually has more noise in it, and is less informative about a company's operating health, than a single year's earnings”. Tesla trước 2020 là ví dụ FCF âm do tái đầu tư.</t>
  </si>
  <si>
    <t xml:space="preserve">Q038</t>
  </si>
  <si>
    <t xml:space="preserve">FCFE khác FCFF ở điểm nào khi chiết khấu?</t>
  </si>
  <si>
    <t xml:space="preserve">FCFE chiết khấu bằng chi phí vốn chủ và ra thẳng giá trị vốn chủ</t>
  </si>
  <si>
    <t xml:space="preserve">FCFE cũng dùng WACC</t>
  </si>
  <si>
    <t xml:space="preserve">FCFE dùng lãi suất trái phiếu</t>
  </si>
  <si>
    <t xml:space="preserve">Hai cái giống nhau</t>
  </si>
  <si>
    <t xml:space="preserve">FCFE là dòng tiền sau khi trả nợ nên chiết khấu bằng chi phí vốn chủ: “the correct discount rate to use is the cost of equity”. Nhầm hai tỷ lệ này là lỗi kinh điển trong mô hình DCF.</t>
  </si>
  <si>
    <t xml:space="preserve">https://shinhansec.com.vn/vi/kien-thuc-dau-tu/84/dinh-gia-doanh-nghiep-bang-mo-hinh-fcfe-fcff-la-gi.html</t>
  </si>
  <si>
    <t xml:space="preserve">Q039</t>
  </si>
  <si>
    <t xml:space="preserve">gia-tri-noi-tai-fcff</t>
  </si>
  <si>
    <t xml:space="preserve">Giá trị cuối kỳ chiếm 75% tổng giá trị trong mô hình DCF của bạn. Damodaran nói gì?</t>
  </si>
  <si>
    <t xml:space="preserve">Mô hình không đáng tin, phải kéo dài dự báo</t>
  </si>
  <si>
    <t xml:space="preserve">Đáng lo là khi terminal value KHÔNG chiếm phần lớn giá trị</t>
  </si>
  <si>
    <t xml:space="preserve">Phải giảm xuống dưới 50%</t>
  </si>
  <si>
    <t xml:space="preserve">Phải đổi sang phương pháp bội số</t>
  </si>
  <si>
    <t xml:space="preserve">Damodaran bác bỏ ngộ nhận này: “In fact, it is when it does not account for the bulk of the value that you should be wary of a DCF!” — vì phần lớn lợi nhuận của cổ đông đến từ tăng giá chứ không phải cổ tức. Vấn đề nằm ở chất lượng giả định tạo ra terminal value, không phải ở tỷ trọng.</t>
  </si>
  <si>
    <t xml:space="preserve">https://aswathdamodaran.substack.com/p/myth-55-the-terminal-value-ate-my-16-11-30</t>
  </si>
  <si>
    <t xml:space="preserve">Q040</t>
  </si>
  <si>
    <t xml:space="preserve">Sau khi tính terminal value bằng công thức Gordon, bước bắt buộc tiếp theo là gì?</t>
  </si>
  <si>
    <t xml:space="preserve">Cộng thẳng vào tổng hiện giá các dòng tiền</t>
  </si>
  <si>
    <t xml:space="preserve">Chiết khấu nó về hiện tại</t>
  </si>
  <si>
    <t xml:space="preserve">Nhân với tỷ lệ tăng trưởng</t>
  </si>
  <si>
    <t xml:space="preserve">Trừ đi vốn lưu động</t>
  </si>
  <si>
    <t xml:space="preserve">Terminal value tính tại thời điểm cuối kỳ dự báo nên phải chiết khấu tiếp: “A crucial next step is to discount the terminal value (TV) to the present date”. Cùng nguồn khuyến nghị g cuối kỳ nằm trong 2–4% theo GDP.</t>
  </si>
  <si>
    <t xml:space="preserve">Q041</t>
  </si>
  <si>
    <t xml:space="preserve">gia-tri-hien-tai</t>
  </si>
  <si>
    <t xml:space="preserve">Damodaran gọi mô hình trộn dòng tiền vốn chủ với tỷ lệ chiết khấu toàn doanh nghiệp là gì?</t>
  </si>
  <si>
    <t xml:space="preserve">Mô hình bảo thủ</t>
  </si>
  <si>
    <t xml:space="preserve">Chimera DCF — trộn các đơn vị không tương thích</t>
  </si>
  <si>
    <t xml:space="preserve">Mô hình hai giai đoạn</t>
  </si>
  <si>
    <t xml:space="preserve">Mô hình rút gọn</t>
  </si>
  <si>
    <t xml:space="preserve">Damodaran đặt tên cho lỗi này trong bài “If you have a D and a CF, you have a DCF!”. Bốn chiều phải nhất quán: vốn chủ vs doanh nghiệp, trước thuế vs sau thuế, danh nghĩa vs thực, và đồng tiền — điều rất đáng chú ý khi trộn dòng tiền VND với chiết khấu theo USD.</t>
  </si>
  <si>
    <t xml:space="preserve">https://aswathdamodaran.blogspot.com/2015/02/dcf-myth-1-if-you-have-ddiscount-rate.html</t>
  </si>
  <si>
    <t xml:space="preserve">Q042</t>
  </si>
  <si>
    <t xml:space="preserve">D4 · Quy định thị trường VN</t>
  </si>
  <si>
    <t xml:space="preserve">Quy định định giá tài sản ở VN dùng lãi suất ngân hàng thương mại tại năm định giá làm tỷ lệ chiết khấu. Bất cập là gì?</t>
  </si>
  <si>
    <t xml:space="preserve">Không có bất cập</t>
  </si>
  <si>
    <t xml:space="preserve">Lạm phát của đúng một năm quyết định giá trị tài sản dùng hai ba mươi năm</t>
  </si>
  <si>
    <t xml:space="preserve">Lãi suất ngân hàng quá cao</t>
  </si>
  <si>
    <t xml:space="preserve">Không áp dụng được cho bất động sản</t>
  </si>
  <si>
    <t xml:space="preserve">Nghiên cứu của ĐH Lâm nghiệp: “tỷ lệ lạm phát của năm định giá sẽ quyết định giá của tài sản có thời hạn sử dụng... hai ba mươi năm sau đó”, và chỉ ra chênh lệch giá trị quy đổi của cùng một luồng thu nhập 20 năm lên tới 2,34 lần. Tác giả đề xuất dùng dữ liệu bình quân đa năm.</t>
  </si>
  <si>
    <t xml:space="preserve">https://vnuf.edu.vn/documents/454250/1796579/14.KTCS%20-%20Nguyen%20Quang%20Ha.pdf</t>
  </si>
  <si>
    <t xml:space="preserve">Q043</t>
  </si>
  <si>
    <t xml:space="preserve">gia-tri-tuong-lai</t>
  </si>
  <si>
    <t xml:space="preserve">Lợi nhuận tăng trưởng các năm khác nhau. Dùng trung bình cộng 7,14%/năm để chiếu tới 2022 ra 162,08 tỷ, trong khi số thật là 148,43 tỷ. Vì sao lệch?</t>
  </si>
  <si>
    <t xml:space="preserve">Trung bình cộng phóng đại vì không phản ánh tính tích luỹ — phải dùng CAGR 5,80%</t>
  </si>
  <si>
    <t xml:space="preserve">Do thiếu một năm dữ liệu</t>
  </si>
  <si>
    <t xml:space="preserve">Do lạm phát</t>
  </si>
  <si>
    <t xml:space="preserve">Nguồn tính cả hai chiều: trung bình cộng 7,14% ra 162,08 tỷ, còn CAGR 5,80% ra “148.43 tỷ. Đúng bằng với số thật”.</t>
  </si>
  <si>
    <t xml:space="preserve">https://bizuni.vn/dau-tu/cagr-toc-do-tang-truong-binh-quan-kep-ty-suat-loi-nhuan-binh-quan-tai-chinh-geometric-mean/</t>
  </si>
  <si>
    <t xml:space="preserve">Q044</t>
  </si>
  <si>
    <t xml:space="preserve">bien-an-toan</t>
  </si>
  <si>
    <t xml:space="preserve">Bạn nới biên an toàn từ 30% lên 50% để an toàn hơn. Cái giá phải trả là gì?</t>
  </si>
  <si>
    <t xml:space="preserve">Không có giá nào</t>
  </si>
  <si>
    <t xml:space="preserve">Giảm sai lầm loại 1 nhưng tăng sai lầm loại 2 — bỏ lỡ cơ hội</t>
  </si>
  <si>
    <t xml:space="preserve">Phải trả phí giao dịch cao hơn</t>
  </si>
  <si>
    <t xml:space="preserve">Mất quyền nhận cổ tức</t>
  </si>
  <si>
    <t xml:space="preserve">Damodaran: “Increasing your MOS will reduce your type 1 errors but will increase your type 2 errors” và “There are very few actions in investing that don't create costs and benefits and MOS is not an exception”. Nếu bạn thường xuyên giữ tiền mặt nhiều hơn khẩu vị tự nhiên, quy trình đang tạo chi phí ròng.</t>
  </si>
  <si>
    <t xml:space="preserve">https://aswathdamodaran.blogspot.com/2016/05/dcf-myth-31-margin-of-safety-tool-for.html</t>
  </si>
  <si>
    <t xml:space="preserve">Q045</t>
  </si>
  <si>
    <t xml:space="preserve">Định giá sơ sài nhưng mua rẻ hơn 40% thì biên an toàn có bảo vệ được không?</t>
  </si>
  <si>
    <t xml:space="preserve">Có, đó là mục đích của biên an toàn</t>
  </si>
  <si>
    <t xml:space="preserve">Gần như không — biên an toàn trên một định giá sai chỉ gây hại</t>
  </si>
  <si>
    <t xml:space="preserve">Có nếu doanh nghiệp trả cổ tức</t>
  </si>
  <si>
    <t xml:space="preserve">Có nếu nắm giữ trên 5 năm</t>
  </si>
  <si>
    <t xml:space="preserve">Damodaran: “If your valuations are incomplete, badly done or biased, having a MOS on that value will provide little protection and can only hurt you”.</t>
  </si>
  <si>
    <t xml:space="preserve">Q046</t>
  </si>
  <si>
    <t xml:space="preserve">Trên sàn VN, P/B dưới 1 đã đủ coi là có biên an toàn chưa?</t>
  </si>
  <si>
    <t xml:space="preserve">Rồi, vì mua dưới giá trị tài sản</t>
  </si>
  <si>
    <t xml:space="preserve">Chưa — báo cáo ghi nhận tài sản, còn thị trường định giá khả năng tài sản đó tạo tiền</t>
  </si>
  <si>
    <t xml:space="preserve">Chỉ đủ với doanh nghiệp bất động sản</t>
  </si>
  <si>
    <t xml:space="preserve">Chỉ đủ khi kèm ROE trên 15%</t>
  </si>
  <si>
    <t xml:space="preserve">Nguồn: “chữ sổ sách là phần dễ bị bỏ qua nhất. BCTC ghi nhận tài sản, còn thị trường định giá khả năng tài sản đó tạo tiền”; “Bẫy giá trị xuất hiện khi cổ phiếu trông rẻ nhưng thiếu cơ chế mở khóa giá trị”.</t>
  </si>
  <si>
    <t xml:space="preserve">https://nguoiquansat.vn/co-phieu-duoi-gia-tri-so-sach-bai-hoc-benjamin-graham-va-chiec-bay-p-b-thap-tren-san-chung-khoan-viet-nam-296389.html</t>
  </si>
  <si>
    <t xml:space="preserve">Q047</t>
  </si>
  <si>
    <t xml:space="preserve">Chỉ số doanh nghiệp</t>
  </si>
  <si>
    <t xml:space="preserve">eps-co-ban</t>
  </si>
  <si>
    <t xml:space="preserve">Sau đợt chia cổ tức bằng cổ phiếu, tài khoản bạn từ 1.000 lên 1.200 cổ phiếu. Tài sản thay đổi ra sao?</t>
  </si>
  <si>
    <t xml:space="preserve">Không đổi — giá điều chỉnh từ 40.000 xuống khoảng 33.333 đồng</t>
  </si>
  <si>
    <t xml:space="preserve">Giảm vì bị pha loãng</t>
  </si>
  <si>
    <t xml:space="preserve">Tăng nhưng phải chờ ngày về</t>
  </si>
  <si>
    <t xml:space="preserve">DNSE nêu đúng ngộ nhận: “Số lượng cổ phiếu trong tài khoản tăng lên khiến nhiều người nghĩ rằng mình đang được thêm tiền mà không phải bỏ ra đồng nào”, trong khi “Không có giá trị mới được tạo ra” — 1.200 cổ phiếu × 33.333 đồng vẫn là 40 triệu.</t>
  </si>
  <si>
    <t xml:space="preserve">https://www.dnse.com.vn/senses/tin-tuc/hieu-dung-ve-pha-loang-co-phieu-khi-doanh-nghiep-chia-co-tuc-35163328</t>
  </si>
  <si>
    <t xml:space="preserve">Q048</t>
  </si>
  <si>
    <t xml:space="preserve">EPS kỳ này thấp hơn kỳ trước trong khi doanh nghiệp vừa chia cổ phiếu thưởng. Nguyên nhân khả dĩ nhất?</t>
  </si>
  <si>
    <t xml:space="preserve">Lợi nhuận suy giảm</t>
  </si>
  <si>
    <t xml:space="preserve">Mẫu số tăng do pha loãng, lợi nhuận có thể không đổi</t>
  </si>
  <si>
    <t xml:space="preserve">Sai sót kế toán</t>
  </si>
  <si>
    <t xml:space="preserve">Doanh nghiệp giấu lãi</t>
  </si>
  <si>
    <t xml:space="preserve">DNSE: “Khi số cổ phiếu tăng nhưng lợi nhuận không đổi, EPS giảm xuống, khiến cổ phiếu trở nên kém hấp dẫn hơn về mặt định giá” — và chia liên tục mà không tăng trưởng tương ứng sẽ đẩy P/E lên.</t>
  </si>
  <si>
    <t xml:space="preserve">Q049</t>
  </si>
  <si>
    <t xml:space="preserve">EPS quý tăng vọt. Điều cần kiểm tra đầu tiên là gì?</t>
  </si>
  <si>
    <t xml:space="preserve">Giá cổ phiếu đã tăng chưa</t>
  </si>
  <si>
    <t xml:space="preserve">Lợi nhuận đến từ đâu — có khoản một lần như bán tài sản, thoái vốn, hoàn nhập dự phòng không</t>
  </si>
  <si>
    <t xml:space="preserve">Khối lượng giao dịch</t>
  </si>
  <si>
    <t xml:space="preserve">Ý kiến của môi giới</t>
  </si>
  <si>
    <t xml:space="preserve">CafeF: “Lợi nhuận tăng mạnh đôi khi đến từ các khoản một lần – như bán tài sản, thoái vốn, hoặc hoàn nhập dự phòng”. Trường hợp KBC: mua 9,6 triệu cổ phần giá 96 tỷ rồi xác định lại giá trị 2.493 tỷ, ghi nhận lợi nhuận 2.397 tỷ.</t>
  </si>
  <si>
    <t xml:space="preserve">https://cafef.vn/doc-vi-bao-cao-tai-chinh-3-chi-bao-boc-tran-doanh-nghiep-lai-ao-188251022221734407.chn</t>
  </si>
  <si>
    <t xml:space="preserve">Q050</t>
  </si>
  <si>
    <t xml:space="preserve">Bạn định giá theo EPS trên BCTC tự lập doanh nghiệp vừa công bố. Rủi ro là gì?</t>
  </si>
  <si>
    <t xml:space="preserve">Không có rủi ro, số liệu là số liệu</t>
  </si>
  <si>
    <t xml:space="preserve">Con số có thể đảo chiều sau kiểm toán — đã có trường hợp từ lãi 39 tỷ thành lỗ 86,5 tỷ</t>
  </si>
  <si>
    <t xml:space="preserve">Chỉ lệch vài phần trăm</t>
  </si>
  <si>
    <t xml:space="preserve">Chỉ ảnh hưởng doanh nghiệp nhỏ</t>
  </si>
  <si>
    <t xml:space="preserve">Trường hợp thật: Chứng khoán Sài Gòn – Hà Nội “giảm hơn 100 tỷ đồng lợi nhuận, từ LÃI 39 tỷ đồng xuống mức LỖ 86,5 tỷ đồng” sau kiểm toán. Kỷ lục thuộc về KBC với chênh lệch 2.256 tỷ, bốc hơi 92% lợi nhuận.</t>
  </si>
  <si>
    <t xml:space="preserve">https://cafebiz.vn/giai-ma-su-bien-hoa-ky-la-cua-con-so-loi-nhuan-tren-bao-cao-tai-chinh-truoc-va-sau-moi-mua-kiem-toan-17622091414393773.chn</t>
  </si>
  <si>
    <t xml:space="preserve">Q051</t>
  </si>
  <si>
    <t xml:space="preserve">bvps</t>
  </si>
  <si>
    <t xml:space="preserve">Doanh nghiệp chia cổ phiếu thưởng 2:1. BVPS thay đổi thế nào?</t>
  </si>
  <si>
    <t xml:space="preserve">Giữ nguyên</t>
  </si>
  <si>
    <t xml:space="preserve">Giảm tương ứng vì vốn chủ không đổi mà số cổ phiếu tăng</t>
  </si>
  <si>
    <t xml:space="preserve">Tăng gấp đôi</t>
  </si>
  <si>
    <t xml:space="preserve">Phụ thuộc giá thị trường</t>
  </si>
  <si>
    <t xml:space="preserve">GoValue: “đây là nghiệp vụ chia tách cổ phiếu. Nó không hề phát sinh bất kỳ dòng tiền mới” nên “giá trị sổ sách (Vốn CSH / Số lượng cổ phiếu) giảm tương ứng”. Nguồn còn cảnh báo lãnh đạo có thể dùng cách này để che giấu thiếu hụt dòng tiền mặt.</t>
  </si>
  <si>
    <t xml:space="preserve">https://govalue.vn/co-phieu-thuong-la-gi/</t>
  </si>
  <si>
    <t xml:space="preserve">Q052</t>
  </si>
  <si>
    <t xml:space="preserve">Với doanh nghiệp lỗ kéo dài nhiều năm, BVPS có thể rơi vào tình trạng nào?</t>
  </si>
  <si>
    <t xml:space="preserve">Bằng 0</t>
  </si>
  <si>
    <t xml:space="preserve">Âm, khiến P/B âm và mất ý nghĩa</t>
  </si>
  <si>
    <t xml:space="preserve">Không đổi</t>
  </si>
  <si>
    <t xml:space="preserve">Bằng mệnh giá</t>
  </si>
  <si>
    <t xml:space="preserve">Damodaran: “The book value of equity can become negative if a firm has a sustained string of negative earnings reports, leading to a negative price-book value ratio”. Ông cũng lưu ý BVPS gần như vô nghĩa với doanh nghiệp dịch vụ ít tài sản cố định.</t>
  </si>
  <si>
    <t xml:space="preserve">https://pages.stern.nyu.edu/~adamodar/New_Home_Page/lectures/pbv.html</t>
  </si>
  <si>
    <t xml:space="preserve">Q053</t>
  </si>
  <si>
    <t xml:space="preserve">roe</t>
  </si>
  <si>
    <t xml:space="preserve">Doanh nghiệp A có ROE 30% và ROA 5%. Doanh nghiệp B có ROE 20% và ROA 15%. Đánh giá nào hợp lý?</t>
  </si>
  <si>
    <t xml:space="preserve">A tốt hơn vì ROE cao hơn</t>
  </si>
  <si>
    <t xml:space="preserve">B đáng giá hơn — ROE của A chủ yếu đến từ đòn bẩy</t>
  </si>
  <si>
    <t xml:space="preserve">Hai bên tương đương</t>
  </si>
  <si>
    <t xml:space="preserve">Không so sánh được</t>
  </si>
  <si>
    <t xml:space="preserve">Nguồn tiếng Việt nói thẳng: “Một doanh nghiệp có ROE = 30% và ROA = 5%, Ngọ không đánh giá cao bằng doanh nghiệp ROE = 20% và ROA = 15%”. CafeF bổ sung: ROE cao bất thường “có thể đến từ việc doanh nghiệp vay nợ nhiều, khiến lợi nhuận trên vốn tăng ảo”.</t>
  </si>
  <si>
    <t xml:space="preserve">https://cophieux.com/chi-so-roe/</t>
  </si>
  <si>
    <t xml:space="preserve">Q054</t>
  </si>
  <si>
    <t xml:space="preserve">Hành động nào của doanh nghiệp làm ROE tăng mà lợi nhuận không đổi?</t>
  </si>
  <si>
    <t xml:space="preserve">Tăng doanh thu</t>
  </si>
  <si>
    <t xml:space="preserve">Mua lại cổ phiếu quỹ làm giảm vốn chủ sở hữu</t>
  </si>
  <si>
    <t xml:space="preserve">Trả cổ tức tiền mặt</t>
  </si>
  <si>
    <t xml:space="preserve">Phát hành thêm cổ phiếu</t>
  </si>
  <si>
    <t xml:space="preserve">Nguồn tiếng Việt: “ROE hoàn toàn có thể bị bóp méo nếu như doanh nghiệp mua lại cổ phiếu quỹ để làm giảm vốn chủ sở hữu, khi đó lợi nhuận vẫn không đổi nên sẽ tăng ROE”. CFI xác nhận: “asset write-downs and share repurchases to artificially boost ROE by decreasing total shareholders' equity”.</t>
  </si>
  <si>
    <t xml:space="preserve">Q055</t>
  </si>
  <si>
    <t xml:space="preserve">Doanh nghiệp giữ rất nhiều tiền mặt nhưng hoạt động rất lãi. ROE sẽ thế nào?</t>
  </si>
  <si>
    <t xml:space="preserve">Cao hơn bình thường</t>
  </si>
  <si>
    <t xml:space="preserve">Thấp đi vì tiền mặt dư thừa nằm trong vốn chủ sở hữu</t>
  </si>
  <si>
    <t xml:space="preserve">Không ảnh hưởng</t>
  </si>
  <si>
    <t xml:space="preserve">Bằng ROA</t>
  </si>
  <si>
    <t xml:space="preserve">Refinitiv: “A company with a great deal of excess cash will be penalized with a lower ROE, even though its operations are highly profitable” — và nêu thêm “Only 1% of the difference in valuation between S&amp;P 500 companies can be explained through ROE”.</t>
  </si>
  <si>
    <t xml:space="preserve">https://lipperalpha.refinitiv.com/2018/11/dont-get-misled-by-return-on-equity-roe</t>
  </si>
  <si>
    <t xml:space="preserve">Q056</t>
  </si>
  <si>
    <t xml:space="preserve">roa</t>
  </si>
  <si>
    <t xml:space="preserve">Doanh nghiệp thép có ROA thấp hơn doanh nghiệp phần mềm. Kết luận nào đúng?</t>
  </si>
  <si>
    <t xml:space="preserve">Thép làm ăn kém hơn</t>
  </si>
  <si>
    <t xml:space="preserve">Ngành công nghiệp nặng buộc phải có tài sản cố định lớn nên ROA thấp là đặc thù cơ cấu</t>
  </si>
  <si>
    <t xml:space="preserve">Số liệu thép bị sai</t>
  </si>
  <si>
    <t xml:space="preserve">Phải so ROE thay vì ROA</t>
  </si>
  <si>
    <t xml:space="preserve">Nguồn: “Với các công ty hoạt động trong ngành công nghiệp nặng như: Thép, xi măng,… thường yêu cầu tài sản cố định rất lớn. Do đó chỉ số ROA sẽ tương đối thấp”.</t>
  </si>
  <si>
    <t xml:space="preserve">https://master.masvn.com/en/kien-thuc-dau-tu-chung-khoan/chi-so-roa-roe-la-gi-va-y-nghia-trong-phan-tich-dau-tu-180</t>
  </si>
  <si>
    <t xml:space="preserve">Q057</t>
  </si>
  <si>
    <t xml:space="preserve">ROA thường được giới thiệu là thước đo thuần hiệu quả tài sản. Điểm chưa chuẩn ở đâu?</t>
  </si>
  <si>
    <t xml:space="preserve">ROA không tính tài sản vô hình</t>
  </si>
  <si>
    <t xml:space="preserve">Tử số là lợi nhuận sau thuế — đã trừ lãi vay, nên vẫn dính cơ cấu vốn</t>
  </si>
  <si>
    <t xml:space="preserve">ROA tính theo quý</t>
  </si>
  <si>
    <t xml:space="preserve">ROA không so sánh được trong cùng ngành</t>
  </si>
  <si>
    <t xml:space="preserve">Nguồn: “Net income is an inappropriate choice of numerator... because it includes a deduction for interest expense” và “A proper measurement of ROA should focus exclusively on operating returns, and therefore should be independent of the firm's capital structure — which net income clearly is not”.</t>
  </si>
  <si>
    <t xml:space="preserve">https://www.abi.org/abi-journal/return-on-assets-so-usefuland-so-misused</t>
  </si>
  <si>
    <t xml:space="preserve">Q058</t>
  </si>
  <si>
    <t xml:space="preserve">bien-loi-nhuan-rong</t>
  </si>
  <si>
    <t xml:space="preserve">QCG có quý doanh thu 11,5 tỷ (giảm 91,2%) nhưng lợi nhuận sau thuế 167,1 tỷ, tăng 93,4 lần. Lợi nhuận gộp thì sao?</t>
  </si>
  <si>
    <t xml:space="preserve">Tăng tương ứng</t>
  </si>
  <si>
    <t xml:space="preserve">Âm gần 1 tỷ — toàn bộ lãi đến từ thu nhập khác</t>
  </si>
  <si>
    <t xml:space="preserve">Không công bố</t>
  </si>
  <si>
    <t xml:space="preserve">Nguồn: “hoạt động kinh doanh còn ghi nhận lợi nhuận gộp âm gần 1 tỷ đồng”, và kết luận “Lợi nhuận tăng mạnh không phải lúc nào cũng đi cùng sự cải thiện của hoạt động kinh doanh cốt lõi”.</t>
  </si>
  <si>
    <t xml:space="preserve">https://www.tinnhanhchungkhoan.vn/nhieu-doanh-nghiep-niem-yet-lai-lon-nho-thu-nhap-khac-post396380.html</t>
  </si>
  <si>
    <t xml:space="preserve">Q059</t>
  </si>
  <si>
    <t xml:space="preserve">Vì sao biên lợi nhuận ròng — chỉ tiêu cuối cùng của báo cáo — lại kém tin cậy nhất?</t>
  </si>
  <si>
    <t xml:space="preserve">Vì nó nhỏ nhất</t>
  </si>
  <si>
    <t xml:space="preserve">Vì nó hứng trọn mọi tác động của nghiệp vụ kế toán, thuế và chi phí tài chính</t>
  </si>
  <si>
    <t xml:space="preserve">Vì nó tính theo năm</t>
  </si>
  <si>
    <t xml:space="preserve">Vì doanh nghiệp không phải công bố</t>
  </si>
  <si>
    <t xml:space="preserve">Tài liệu kế toán: “Biên lợi nhuận ròng là dễ bị tác động bởi các nghiệp vụ kế toán nhất”.</t>
  </si>
  <si>
    <t xml:space="preserve">https://kketoan.duytan.edu.vn/bai-viet/bai-viet-ths-duong-thi-thanh-hien-bien-loi-nhuan-nhung-luu-y-khi-su-dung</t>
  </si>
  <si>
    <t xml:space="preserve">Q060</t>
  </si>
  <si>
    <t xml:space="preserve">bien-loi-nhuan-gop</t>
  </si>
  <si>
    <t xml:space="preserve">Biên lợi nhuận gộp cao có đảm bảo doanh nghiệp lãi tốt không?</t>
  </si>
  <si>
    <t xml:space="preserve">Không — chi phí bán hàng và quản lý có thể ăn hết phần lãi đó</t>
  </si>
  <si>
    <t xml:space="preserve">Có nếu doanh thu tăng</t>
  </si>
  <si>
    <t xml:space="preserve">Có với doanh nghiệp sản xuất</t>
  </si>
  <si>
    <t xml:space="preserve">Tài liệu kế toán: biên gộp cao “chưa thể hiện được hết việc quản lý chi phí”, và “Mỗi ngành nghề kinh doanh sẽ có khoảng biên lợi nhuận khác nhau nên để tìm ra con số chung cho các ngành là không thể”.</t>
  </si>
  <si>
    <t xml:space="preserve">Q061</t>
  </si>
  <si>
    <t xml:space="preserve">Nghiên cứu học thuật ghi nhận nhà quản lý can thiệp biên gộp bằng cách nào?</t>
  </si>
  <si>
    <t xml:space="preserve">Ghi nhận doanh thu sớm</t>
  </si>
  <si>
    <t xml:space="preserve">Chuyển chi phí từ giá vốn sang chi phí hoạt động</t>
  </si>
  <si>
    <t xml:space="preserve">Hoãn khấu hao</t>
  </si>
  <si>
    <t xml:space="preserve">Tăng hàng tồn kho</t>
  </si>
  <si>
    <t xml:space="preserve">Nghiên cứu về classification shifting: “managers, on average, misclassify costs of goods sold as operating expenses”, thường nhằm “just meet prior period's gross margin”.</t>
  </si>
  <si>
    <t xml:space="preserve">B · Quy định / chuẩn chuyên môn</t>
  </si>
  <si>
    <t xml:space="preserve">https://www.sciencedirect.com/science/article/abs/pii/S0148296318304636</t>
  </si>
  <si>
    <t xml:space="preserve">Q062</t>
  </si>
  <si>
    <t xml:space="preserve">no-tren-von-chu</t>
  </si>
  <si>
    <t xml:space="preserve">D/E của doanh nghiệp là 1,8. Cách xử lý nào hợp lý nhất?</t>
  </si>
  <si>
    <t xml:space="preserve">Loại ngay vì trên 1</t>
  </si>
  <si>
    <t xml:space="preserve">So với đặc thù ngành, và tách nợ ngắn hạn với nợ dài hạn</t>
  </si>
  <si>
    <t xml:space="preserve">Chấp nhận vì nợ là đòn bẩy tốt</t>
  </si>
  <si>
    <t xml:space="preserve">Chỉ xem nếu ROE trên 20%</t>
  </si>
  <si>
    <t xml:space="preserve">Nguồn: “không nên hoàn toàn bỏ qua các công ty có chỉ số D/E lớn hơn 1”; “Chỉ số D/E thấp không phải lúc nào cũng chỉ ra rằng công ty là tốt, đặc biệt nếu tỷ lệ này âm”; và “Nợ ngắn hạn và nợ dài hạn đều được tính vào tổng nợ... nhưng có kỳ hạn và mức độ rủi ro khác nhau”.</t>
  </si>
  <si>
    <t xml:space="preserve">https://onehousing.vn/blog/nhung-luu-y-nha-dau-tu-can-biet-khi-su-dung-ty-le-no-tren-von-chu-so-huu-de-n17t</t>
  </si>
  <si>
    <t xml:space="preserve">Q063</t>
  </si>
  <si>
    <t xml:space="preserve">thanh-toan-hien-hanh</t>
  </si>
  <si>
    <t xml:space="preserve">Tỷ số thanh toán hiện hành 3,2 lần, trong đó hàng tồn kho chiếm phần lớn tài sản ngắn hạn. Đánh giá?</t>
  </si>
  <si>
    <t xml:space="preserve">Rất an toàn</t>
  </si>
  <si>
    <t xml:space="preserve">Chưa chắc — tồn kho ứ đọng khó chuyển thành tiền, và vốn đang bị chôn</t>
  </si>
  <si>
    <t xml:space="preserve">Doanh nghiệp thiếu vốn</t>
  </si>
  <si>
    <t xml:space="preserve">Tỷ số này không có ý nghĩa</t>
  </si>
  <si>
    <t xml:space="preserve">Nguồn: “tỷ số này cao là do tỷ trọng của hàng tồn kho cao chưa hẳn đã là an toàn. Nếu như thị trường biến động xấu, hàng tồn kho bị ứ đọng khiến cho hàng tồn kho khó chuyển thành tiền mặt”. Giáo trình bổ sung: vốn chôn trong tài sản ngắn hạn làm giảm lợi nhuận.</t>
  </si>
  <si>
    <t xml:space="preserve">https://takeprofit.vn/tin-nhanh-chung-khoan/nhom-chi-so-thanh-toan/1648352281543</t>
  </si>
  <si>
    <t xml:space="preserve">Q064</t>
  </si>
  <si>
    <t xml:space="preserve">thanh-toan-nhanh</t>
  </si>
  <si>
    <t xml:space="preserve">Đã loại hàng tồn kho, vì sao tỷ số thanh toán nhanh vẫn có thể đánh lừa?</t>
  </si>
  <si>
    <t xml:space="preserve">Vì còn tiền mặt</t>
  </si>
  <si>
    <t xml:space="preserve">Vì khoản phải thu còn lại có thể kém chất lượng hoặc không đòi được</t>
  </si>
  <si>
    <t xml:space="preserve">Vì công thức sai</t>
  </si>
  <si>
    <t xml:space="preserve">Vì chưa trừ nợ dài hạn</t>
  </si>
  <si>
    <t xml:space="preserve">Giáo trình: “An accumulation of poor-quality marketable securities or receivables, or both, could cause an acid-test ratio to appear deceptively favorable”. Bản tiếng Việt: “Một khoản phải thu có thể mất nhiều thời gian để thu hồi hoặc có rủi ro không thu hồi được”.</t>
  </si>
  <si>
    <t xml:space="preserve">https://taca.com.vn/ty-so-thanh-toan-nhanh/</t>
  </si>
  <si>
    <t xml:space="preserve">Q065</t>
  </si>
  <si>
    <t xml:space="preserve">vong-quay-tong-tai-san</t>
  </si>
  <si>
    <t xml:space="preserve">Vòng quay tổng tài sản của doanh nghiệp tăng mạnh sau khi họ bán bớt nhà máy và thuê ngoài sản xuất. Ý nghĩa?</t>
  </si>
  <si>
    <t xml:space="preserve">Vận hành hiệu quả hơn thật sự</t>
  </si>
  <si>
    <t xml:space="preserve">Tỷ lệ tăng do mẫu số giảm — có thể không lãi hơn chút nào</t>
  </si>
  <si>
    <t xml:space="preserve">Doanh thu đã tăng</t>
  </si>
  <si>
    <t xml:space="preserve">Biên lợi nhuận đã cải thiện</t>
  </si>
  <si>
    <t xml:space="preserve">Nguồn tiếng Việt: bán tài sản “dẫn đến tỷ lệ lạm phát giả tạo”; “Việc thuê ngoài các cơ sở sản xuất sẽ dẫn đến tỷ lệ luân chuyển tài sản cao hơn” khiến doanh nghiệp “có vẻ hiệu quả hơn so với các đối thủ cạnh tranh ngay cả khi không có nhiều lợi nhuận hơn”.</t>
  </si>
  <si>
    <t xml:space="preserve">https://taca.com.vn/chi-so-vong-quay-tong-tai-san/</t>
  </si>
  <si>
    <t xml:space="preserve">Q066</t>
  </si>
  <si>
    <t xml:space="preserve">ty-le-chi-tra-co-tuc</t>
  </si>
  <si>
    <t xml:space="preserve">Doanh nghiệp có payout ratio 85%. Cách đọc nào thận trọng nhất?</t>
  </si>
  <si>
    <t xml:space="preserve">Rất khoẻ, chia nhiều cho cổ đông</t>
  </si>
  <si>
    <t xml:space="preserve">Có thể đang vắt kiệt lợi nhuận, không còn tiền tái đầu tư — cần xem nguồn tiền trả cổ tức</t>
  </si>
  <si>
    <t xml:space="preserve">Sắp phá sản</t>
  </si>
  <si>
    <t xml:space="preserve">Payout cao luôn tốt cho cổ đông dài hạn</t>
  </si>
  <si>
    <t xml:space="preserve">Nguồn: “Nếu tỷ lệ này quá cao (trên 70-80% chẳng hạn), đó có thể là dấu hiệu công ty đang vắt kiệt lợi nhuận để trả cổ tức, hoặc không có đủ tiền để tái đầu tư” — và nguồn tiền “Có thể là vay nợ, có thể là rút ruột từ quỹ dự phòng”.</t>
  </si>
  <si>
    <t xml:space="preserve">https://vimo.cuthongthai.vn/blog/co-tuc-cao-bay-ngot-hay-kim-cuong-that-90-f0-khong-biet</t>
  </si>
  <si>
    <t xml:space="preserve">Q067</t>
  </si>
  <si>
    <t xml:space="preserve">Doanh nghiệp giữ lại 840 tỷ lợi nhuận cho dự án mới thay vì chia cổ tức. Điều này nói lên gì?</t>
  </si>
  <si>
    <t xml:space="preserve">Ban lãnh đạo bạc đãi cổ đông</t>
  </si>
  <si>
    <t xml:space="preserve">Payout hợp lý phụ thuộc cơ hội đầu tư — payout cao thường là dấu hiệu hết cơ hội hấp dẫn</t>
  </si>
  <si>
    <t xml:space="preserve">Doanh nghiệp thiếu tiền mặt</t>
  </si>
  <si>
    <t xml:space="preserve">Sắp phát hành thêm cổ phiếu</t>
  </si>
  <si>
    <t xml:space="preserve">Nguồn dẫn trường hợp DPM: “Một công ty sẽ chọn cách trả cổ tức cao, nếu như công ty đó không có nhiều cơ hội đầu tư sinh lời hấp dẫn” và “chưa hẳn trả cổ tức cao đã là tốt”.</t>
  </si>
  <si>
    <t xml:space="preserve">https://m.nhipcaudautu.vn/kinh-doanh/co-tuc-cao-co-phai-la-tot--3264403/</t>
  </si>
  <si>
    <t xml:space="preserve">Q068</t>
  </si>
  <si>
    <t xml:space="preserve">diem-hoa-von</t>
  </si>
  <si>
    <t xml:space="preserve">Giả định nào KHÔNG nằm trong mô hình điểm hoà vốn cơ bản?</t>
  </si>
  <si>
    <t xml:space="preserve">Chi phí cố định không đổi</t>
  </si>
  <si>
    <t xml:space="preserve">Biến phí đơn vị không đổi ở mọi sản lượng</t>
  </si>
  <si>
    <t xml:space="preserve">Giá bán như nhau ở mọi sản lượng</t>
  </si>
  <si>
    <t xml:space="preserve">Doanh nghiệp có nhiều dòng sản phẩm</t>
  </si>
  <si>
    <t xml:space="preserve">Tài liệu ACCA nêu các giả định: chi phí cố định không đổi, biến phí đơn vị không đổi, “Giá bán là như nhau ở mọi mức sản lượng”, “Sản lượng sản xuất = Sản lượng tiêu thụ”. tutor2u bổ sung: “Most businesses sell more than one product, so break-even for the business becomes harder to calculate” — đa sản phẩm chính là chỗ mô hình gãy.</t>
  </si>
  <si>
    <t xml:space="preserve">https://knowledge.sapp.edu.vn/knowledge/acca-f5-lesson-4-ph%C3%A2n-t%C3%ADch-m%E1%BB%91i-quan-h%E1%BB%87-chi-ph%C3%AD-s%E1%BA%A3n-l%C6%B0%E1%BB%A3ng-l%E1%BB%A3i-nhu%E1%BA%ADn-cost-volume-profit-analysis</t>
  </si>
  <si>
    <t xml:space="preserve">Q069</t>
  </si>
  <si>
    <t xml:space="preserve">don-bay-tong-hop</t>
  </si>
  <si>
    <t xml:space="preserve">Doanh nghiệp có đòn bẩy tổng hợp cao. Khi EBIT giảm 10%, điều gì xảy ra?</t>
  </si>
  <si>
    <t xml:space="preserve">EPS giảm khoảng 10%</t>
  </si>
  <si>
    <t xml:space="preserve">EPS giảm mạnh hơn nhiều, và nguy cơ mất khả năng thanh toán tăng</t>
  </si>
  <si>
    <t xml:space="preserve">EPS không đổi</t>
  </si>
  <si>
    <t xml:space="preserve">EPS tăng do tiết kiệm thuế</t>
  </si>
  <si>
    <t xml:space="preserve">Nguồn: “nếu kinh doanh không thuận lợi, EBIT giảm, đòn bẩy tài chính càng lớn sẽ làm tăng nguy cơ mất khả năng thanh toán”; và ví von “sử dụng đòn bẩy kinh doanh như sử dụng con dao hai lưỡi”.</t>
  </si>
  <si>
    <t xml:space="preserve">https://amis.misa.vn/27215/don-bay-trong-kinh-doanh/</t>
  </si>
  <si>
    <t xml:space="preserve">Q070</t>
  </si>
  <si>
    <t xml:space="preserve">Rủi ro &amp; danh mục</t>
  </si>
  <si>
    <t xml:space="preserve">var-lich-su</t>
  </si>
  <si>
    <t xml:space="preserve">VaR 99% một ngày của danh mục là 5%. Điều này KHÔNG nói gì?</t>
  </si>
  <si>
    <t xml:space="preserve">Ngưỡng lỗ ở mức tin cậy 99%</t>
  </si>
  <si>
    <t xml:space="preserve">Mức lỗ có thể xảy ra trong 1% trường hợp còn lại</t>
  </si>
  <si>
    <t xml:space="preserve">Phân vị của phân phối lợi suất</t>
  </si>
  <si>
    <t xml:space="preserve">Kết quả dựa trên dữ liệu quá khứ</t>
  </si>
  <si>
    <t xml:space="preserve">David Einhorn ví von: “A 99% Value-at-Risk calculation does not evaluate what happens in the last one percent... This is like an airbag that works all the time, except when you have a car accident”. Đúng phần đuôi đó mới là phần giết tài khoản.</t>
  </si>
  <si>
    <t xml:space="preserve">https://www.azquotes.com/quote/1345674</t>
  </si>
  <si>
    <t xml:space="preserve">Q071</t>
  </si>
  <si>
    <t xml:space="preserve">Điều trần trước Quốc hội Mỹ sau khủng hoảng 2008 kết luận gì về VaR?</t>
  </si>
  <si>
    <t xml:space="preserve">VaR đo được rủi ro khủng hoảng</t>
  </si>
  <si>
    <t xml:space="preserve">VaR không được thiết kế để xử lý rủi ro khủng hoảng — hỏng đúng lúc cần nhất</t>
  </si>
  <si>
    <t xml:space="preserve">VaR chỉ sai với trái phiếu</t>
  </si>
  <si>
    <t xml:space="preserve">VaR cần mẫu lớn hơn là đủ</t>
  </si>
  <si>
    <t xml:space="preserve">Richard Bookstaber điều trần: “VaR is not constructed to deal with crisis risk” và “VaR is a good measure of risk except when it really matters”. Taleb cùng phiên còn nói VaR “has side effects of increasing risk-taking, even by those who know that it is not reliable”.</t>
  </si>
  <si>
    <t xml:space="preserve">https://science.house.gov/sites/republicans.science.house.gov/files/documents/hearings/091009_Bookstaber.pdf</t>
  </si>
  <si>
    <t xml:space="preserve">Q072</t>
  </si>
  <si>
    <t xml:space="preserve">Gộp hai danh mục độc lập lại, VaR của danh mục tổng có luôn nhỏ hơn tổng hai VaR riêng không?</t>
  </si>
  <si>
    <t xml:space="preserve">Có, nhờ đa dạng hoá</t>
  </si>
  <si>
    <t xml:space="preserve">Không — VaR không có tính cộng dưới, có trường hợp VaR gộp lớn hơn</t>
  </si>
  <si>
    <t xml:space="preserve">Có nếu tương quan âm</t>
  </si>
  <si>
    <t xml:space="preserve">Luôn bằng nhau</t>
  </si>
  <si>
    <t xml:space="preserve">Nguồn: “VaR is telling us that the diversified two-bond portfolio is dramatically riskier than the sum of the two single-bond positions” — vì “Risks that are individually hidden below the confidence level can pile up across positions until their combined probability pokes above the threshold”.</t>
  </si>
  <si>
    <t xml:space="preserve">https://riskhub.org/blogs/why-value-at-risk-is-not-a-coherent-risk-measure</t>
  </si>
  <si>
    <t xml:space="preserve">Q073</t>
  </si>
  <si>
    <t xml:space="preserve">cvar-lich-su</t>
  </si>
  <si>
    <t xml:space="preserve">CVaR 99% bằng 8%. Cách hiểu đúng?</t>
  </si>
  <si>
    <t xml:space="preserve">Không thể lỗ quá 8%</t>
  </si>
  <si>
    <t xml:space="preserve">Trung bình của phần đuôi, ước lượng từ rất ít quan sát nên rất nhiễu</t>
  </si>
  <si>
    <t xml:space="preserve">Xác suất lỗ 8% là 99%</t>
  </si>
  <si>
    <t xml:space="preserve">Lỗ tối đa trong lịch sử là 8%</t>
  </si>
  <si>
    <t xml:space="preserve">Nguồn: “at 99% the historical CVaR is the mean of just 45 observations”, và phân phối khớp cho thấy “the fitted tail expects days worse than any yet observed”. CVaR cũng khó kiểm định ngược hơn VaR.</t>
  </si>
  <si>
    <t xml:space="preserve">https://www.pyportfolios.com/research/cvar-expected-shortfall</t>
  </si>
  <si>
    <t xml:space="preserve">Q074</t>
  </si>
  <si>
    <t xml:space="preserve">ty-so-sharpe</t>
  </si>
  <si>
    <t xml:space="preserve">Một chiến lược có Sharpe ratio rất cao. Điều gì vẫn có thể xảy ra?</t>
  </si>
  <si>
    <t xml:space="preserve">Không gì cả, Sharpe cao là an toàn</t>
  </si>
  <si>
    <t xml:space="preserve">Mất toàn bộ tiền — đã có bài báo toán học chứng minh điều này tương thích với Sharpe cao</t>
  </si>
  <si>
    <t xml:space="preserve">Lợi nhuận thấp nhưng ổn định</t>
  </si>
  <si>
    <t xml:space="preserve">Chỉ lỗ tối đa bằng độ lệch chuẩn</t>
  </si>
  <si>
    <t xml:space="preserve">Bài “Losing money with a high Sharpe ratio” (arXiv:1109.0706): “A simple example shows that losing all money is compatible with a very high Sharpe ratio (as computed after losing all money)”.</t>
  </si>
  <si>
    <t xml:space="preserve">https://ar5iv.arxiv.org/html/1109.0706</t>
  </si>
  <si>
    <t xml:space="preserve">Q075</t>
  </si>
  <si>
    <t xml:space="preserve">Cách đơn giản nhất để đẩy Sharpe ratio lên mà không tạo thêm giá trị cho nhà đầu tư là gì?</t>
  </si>
  <si>
    <t xml:space="preserve">Tăng số lệnh giao dịch</t>
  </si>
  <si>
    <t xml:space="preserve">Bán quyền chọn ngoài giá rồi gửi phần còn lại ở tài sản phi rủi ro</t>
  </si>
  <si>
    <t xml:space="preserve">Giảm phí quản lý</t>
  </si>
  <si>
    <t xml:space="preserve">Đổi chỉ số tham chiếu</t>
  </si>
  <si>
    <t xml:space="preserve">Nghiên cứu trên Review of Financial Studies: “A simple strategy that accomplishes this has the fund sell an out of the money option in the first month, while investing the remaining funds in the risk free asset” — và định nghĩa thao túng là hành động tăng chỉ số hiệu quả mà “does not actually add value for the fund's investor”.</t>
  </si>
  <si>
    <t xml:space="preserve">https://www.ivo-welch.org/research/journalcopy/ingersoll2007portfolio.pdf</t>
  </si>
  <si>
    <t xml:space="preserve">Q076</t>
  </si>
  <si>
    <t xml:space="preserve">Giả định ẩn nào của Sharpe ratio khiến nó che mất rủi ro sập?</t>
  </si>
  <si>
    <t xml:space="preserve">Lợi suất phân phối chuẩn</t>
  </si>
  <si>
    <t xml:space="preserve">Lãi suất phi rủi ro bằng 0</t>
  </si>
  <si>
    <t xml:space="preserve">Danh mục đã đa dạng hoá</t>
  </si>
  <si>
    <t xml:space="preserve">Không có phí giao dịch</t>
  </si>
  <si>
    <t xml:space="preserve">CFA Institute: “Hidden within the Sharpe Ratio is the assumption that volatility... captures risk in its entirety”. Khảo sát 15 chỉ số toàn cầu: “Ten of the 15 indices exhibit left skewness, or crash risk” — tức dễ lao dốc hơn là leo dốc.</t>
  </si>
  <si>
    <t xml:space="preserve">https://rpc.cfainstitute.org/blogs/enterprising-investor/2022/how-sharp-is-the-sharpe-ratio-an-analysis-of-global-stock-indices</t>
  </si>
  <si>
    <t xml:space="preserve">Q077</t>
  </si>
  <si>
    <t xml:space="preserve">Nhân Sharpe theo phiên với căn bậc hai của 252 để ra Sharpe năm. Vấn đề của phép này?</t>
  </si>
  <si>
    <t xml:space="preserve">Không có vấn đề, đây là chuẩn</t>
  </si>
  <si>
    <t xml:space="preserve">Nó giả định lợi suất nhiều ngày bằng tổng lợi suất từng ngày, trong khi lợi suất nhân chồng</t>
  </si>
  <si>
    <t xml:space="preserve">Phải dùng 365 thay vì 252</t>
  </si>
  <si>
    <t xml:space="preserve">Chỉ sai với quỹ mở</t>
  </si>
  <si>
    <t xml:space="preserve">Nguồn: “An assumption is made that (since the returns are small) the return over a number of days equals sum of the returns on the individual days”. Ví dụ Bitcoin: Sharpe theo cách chuẩn 2,5 so với 0,83 khi tính đúng.</t>
  </si>
  <si>
    <t xml:space="preserve">https://ar5iv.arxiv.org/html/1802.04413</t>
  </si>
  <si>
    <t xml:space="preserve">Q078</t>
  </si>
  <si>
    <t xml:space="preserve">ty-so-sortino</t>
  </si>
  <si>
    <t xml:space="preserve">Khi nào Sortino xếp hạng danh mục y hệt Sharpe?</t>
  </si>
  <si>
    <t xml:space="preserve">Không bao giờ</t>
  </si>
  <si>
    <t xml:space="preserve">Khi MAR bằng lãi suất phi rủi ro và lợi suất phân phối chuẩn</t>
  </si>
  <si>
    <t xml:space="preserve">Khi danh mục có lợi suất âm</t>
  </si>
  <si>
    <t xml:space="preserve">Khi số quan sát dưới 100</t>
  </si>
  <si>
    <t xml:space="preserve">CFA Institute: “If the MAR is equivalent to the risk-free rate and the investment's returns are normally distributed, the Sortino ratio will assign the same ranking to a portfolio as the Sharpe ratio” — và chọn MAR bằng lãi suất phi rủi ro còn làm mất ý nghĩa mục tiêu của chỉ số.</t>
  </si>
  <si>
    <t xml:space="preserve">https://rpc.cfainstitute.org/-/media/documents/code/gips/the-sortino-ratio.pdf</t>
  </si>
  <si>
    <t xml:space="preserve">Q079</t>
  </si>
  <si>
    <t xml:space="preserve">do-lech-chuan-ban-phan</t>
  </si>
  <si>
    <t xml:space="preserve">Cách tính downside deviation phổ biến nhất — và cũng sai nhất — là gì?</t>
  </si>
  <si>
    <t xml:space="preserve">Bỏ hết phiên dương rồi lấy độ lệch chuẩn phần còn lại</t>
  </si>
  <si>
    <t xml:space="preserve">Chia cho tổng số quan sát</t>
  </si>
  <si>
    <t xml:space="preserve">Dùng MAR bằng 0</t>
  </si>
  <si>
    <t xml:space="preserve">Lấy căn của phương sai</t>
  </si>
  <si>
    <t xml:space="preserve">Red Rock Capital trên CME Group: “we have seen the Sortino ratio, and in particular the target downside deviation, calculated incorrectly more often than not... by throwing away all the positive returns and take the standard deviation of negative returns”. Phải chia cho TỔNG số quan sát, nếu không rủi ro bị hiểu thấp đi đáng kể.</t>
  </si>
  <si>
    <t xml:space="preserve">https://www.cmegroup.com/education/files/rr-sortino-a-sharper-ratio.pdf</t>
  </si>
  <si>
    <t xml:space="preserve">Q080</t>
  </si>
  <si>
    <t xml:space="preserve">ty-so-treynor</t>
  </si>
  <si>
    <t xml:space="preserve">Hai danh mục cùng beta, một tập trung 3 mã, một đa dạng 40 mã. Treynor chấm điểm thế nào?</t>
  </si>
  <si>
    <t xml:space="preserve">Danh mục đa dạng cao hơn</t>
  </si>
  <si>
    <t xml:space="preserve">Như nhau — Treynor chỉ chia cho rủi ro hệ thống</t>
  </si>
  <si>
    <t xml:space="preserve">Danh mục tập trung cao hơn</t>
  </si>
  <si>
    <t xml:space="preserve">Không tính được</t>
  </si>
  <si>
    <t xml:space="preserve">Nguồn: “portfolios with identical systematic risk, but different total risk, will be rated the same. But the portfolio with a higher total risk is less diversified and therefore has a higher unsystematic risk which is not priced in the market”. Treynor cũng chỉ là tiêu chí xếp hạng, không lượng hoá giá trị gia tăng.</t>
  </si>
  <si>
    <t xml:space="preserve">https://en.wikipedia.org/wiki/Treynor_ratio</t>
  </si>
  <si>
    <t xml:space="preserve">Q081</t>
  </si>
  <si>
    <t xml:space="preserve">ty-so-thong-tin</t>
  </si>
  <si>
    <t xml:space="preserve">Vì sao Information Ratio có thể ra âm ngay cả khi nhà quản lý thực sự tạo alpha?</t>
  </si>
  <si>
    <t xml:space="preserve">Do tracking error quá nhỏ</t>
  </si>
  <si>
    <t xml:space="preserve">Do IR dùng lợi suất số học và bỏ qua đòn bẩy</t>
  </si>
  <si>
    <t xml:space="preserve">Do chọn sai chỉ số</t>
  </si>
  <si>
    <t xml:space="preserve">Do chưa trừ phí quản lý</t>
  </si>
  <si>
    <t xml:space="preserve">Nguồn: “it considers arithmetic returns (rather than geometric returns) and ignores leverage. This can lead to the Information Ratio calculated for a manager being negative when the manager produces alpha to the benchmark and vice versa”.</t>
  </si>
  <si>
    <t xml:space="preserve">https://en.wikipedia.org/wiki/Information_ratio</t>
  </si>
  <si>
    <t xml:space="preserve">Q082</t>
  </si>
  <si>
    <t xml:space="preserve">ty-so-calmar</t>
  </si>
  <si>
    <t xml:space="preserve">Nhược điểm cốt lõi của tỷ số Calmar là gì?</t>
  </si>
  <si>
    <t xml:space="preserve">Không tính lãi suất phi rủi ro</t>
  </si>
  <si>
    <t xml:space="preserve">Mẫu số là một sự kiện lịch sử duy nhất nên chỉ số rất nhiễu</t>
  </si>
  <si>
    <t xml:space="preserve">Chỉ dùng cho quỹ phòng hộ</t>
  </si>
  <si>
    <t xml:space="preserve">Không tính được khi lợi suất âm</t>
  </si>
  <si>
    <t xml:space="preserve">Nguồn: “the denominator is one historical event, so the ratio is unstable across windows”, “an estimate built on one data point is noisy”, và Calmar “tends to worsen as the track record grows simply because more time allows deeper drawdowns to occur”.</t>
  </si>
  <si>
    <t xml:space="preserve">https://www.luxalgo.com/library/concept/calmar-ratio/</t>
  </si>
  <si>
    <t xml:space="preserve">Q083</t>
  </si>
  <si>
    <t xml:space="preserve">ty-so-thang-thua</t>
  </si>
  <si>
    <t xml:space="preserve">Trader chuyên nghiệp Peter Brandt có tỷ lệ thắng bao nhiêu trong sự nghiệp?</t>
  </si>
  <si>
    <t xml:space="preserve">Trên 70%</t>
  </si>
  <si>
    <t xml:space="preserve">Dưới 50%</t>
  </si>
  <si>
    <t xml:space="preserve">Khoảng 60%</t>
  </si>
  <si>
    <t xml:space="preserve">Brandt: “a win rate throughout my career that has always been below 50%” và “85% of my career profits come from 15% of my trades”. Lợi nhuận đến từ một nhóm nhỏ lệnh thắng lớn, không từ tần suất thắng.</t>
  </si>
  <si>
    <t xml:space="preserve">https://traderviet.tv/t/ty-le-thang-win-rate-cua-trader-chuyen-nghiep-la-bao-nhieu.28912/</t>
  </si>
  <si>
    <t xml:space="preserve">Q084</t>
  </si>
  <si>
    <t xml:space="preserve">chuoi-phien-giam-dai-nhat</t>
  </si>
  <si>
    <t xml:space="preserve">Hệ thống có tỷ lệ thắng 25%, chạy 100 lệnh. Chuỗi thua dài nhất nên chuẩn bị tinh thần là bao nhiêu?</t>
  </si>
  <si>
    <t xml:space="preserve">3 lệnh</t>
  </si>
  <si>
    <t xml:space="preserve">Khoảng 16 lệnh</t>
  </si>
  <si>
    <t xml:space="preserve">50 lệnh</t>
  </si>
  <si>
    <t xml:space="preserve">Không dự đoán được</t>
  </si>
  <si>
    <t xml:space="preserve">Công thức trong nguồn: chuỗi thua kỳ vọng = |ln(n) / −ln(1−P)|. “With a 25% win rate on a sample size of 100 trades, you should be comfortable with a loss streak of 16” — và nhiều người bỏ cuộc đúng lúc đó.</t>
  </si>
  <si>
    <t xml:space="preserve">https://retailtradersrepository.substack.com/p/s2-b-calculating-your-expected-losing</t>
  </si>
  <si>
    <t xml:space="preserve">Q085</t>
  </si>
  <si>
    <t xml:space="preserve">sut-giam-sau-nhat</t>
  </si>
  <si>
    <t xml:space="preserve">Tài khoản lỗ 50%. Cần lãi bao nhiêu để hoà vốn?</t>
  </si>
  <si>
    <t xml:space="preserve">50%</t>
  </si>
  <si>
    <t xml:space="preserve">75%</t>
  </si>
  <si>
    <t xml:space="preserve">100%</t>
  </si>
  <si>
    <t xml:space="preserve">150%</t>
  </si>
  <si>
    <t xml:space="preserve">Toán hồi phục phi tuyến, nguồn liệt kê: “Lỗ 10% cần lãi 11,1%... Lỗ 30% cần lãi 42,8%... Lỗ 50% cần lãi 100% để hòa vốn”, và cảnh báo “Khả năng phục hồi tài khoản giảm đi đáng kể, nếu mức lỗ vượt quá 25%”.</t>
  </si>
  <si>
    <t xml:space="preserve">https://casin.vn/hoc/chung-khoan-co-ban/gong-lo-chung-khoan-thong-tin/</t>
  </si>
  <si>
    <t xml:space="preserve">Q086</t>
  </si>
  <si>
    <t xml:space="preserve">Quỹ có max drawdown lịch sử −20%. Suy luận nào sai?</t>
  </si>
  <si>
    <t xml:space="preserve">Mức giảm tương lai sẽ không vượt −20%</t>
  </si>
  <si>
    <t xml:space="preserve">Con số phụ thuộc cửa sổ đo</t>
  </si>
  <si>
    <t xml:space="preserve">Nó rút gọn cả lịch sử về một số duy nhất</t>
  </si>
  <si>
    <t xml:space="preserve">Quỹ lập năm 2010 sẽ bỏ sót khủng hoảng 2008</t>
  </si>
  <si>
    <t xml:space="preserve">Nguồn: “Maximum drawdown is inherently backward-looking and captures only the single worst historical episode”, “Future drawdowns can be larger or smaller than historical ones”, và ví dụ quỹ đo 2010–2019 “completely missing the 2008 crisis”.</t>
  </si>
  <si>
    <t xml:space="preserve">https://ryanoconnellfinance.com/maximum-drawdown/</t>
  </si>
  <si>
    <t xml:space="preserve">Q087</t>
  </si>
  <si>
    <t xml:space="preserve">sut-giam-hien-tai</t>
  </si>
  <si>
    <t xml:space="preserve">Sụt giảm −17% hồi phục trong 6 tháng so với sụt giảm −5% kéo dài 36 tháng. Cái nào bào mòn nhà đầu tư hơn?</t>
  </si>
  <si>
    <t xml:space="preserve">Cái −17%</t>
  </si>
  <si>
    <t xml:space="preserve">Có lập luận rằng cái −5% kéo dài 36 tháng khó chịu hơn</t>
  </si>
  <si>
    <t xml:space="preserve">Như nhau</t>
  </si>
  <si>
    <t xml:space="preserve">Nguồn: “It can be argued that the duration of the drawdown is more painful than the magnitude”, và nêu đúng ví dụ này. Thời gian chìm dưới đỉnh là thước đo ít được chú ý hơn độ sâu.</t>
  </si>
  <si>
    <t xml:space="preserve">https://www.rcmalternatives.com/2013/10/the-2-important-drawdown-measurements-how-deep-how-long/</t>
  </si>
  <si>
    <t xml:space="preserve">Q088</t>
  </si>
  <si>
    <t xml:space="preserve">beta</t>
  </si>
  <si>
    <t xml:space="preserve">Được báo beta của một cổ phiếu Mỹ là 1,10. Khoảng giá trị thật hợp lý là bao nhiêu?</t>
  </si>
  <si>
    <t xml:space="preserve">1,09 – 1,11</t>
  </si>
  <si>
    <t xml:space="preserve">Khoảng 0,70 – 1,50</t>
  </si>
  <si>
    <t xml:space="preserve">1,00 – 1,20</t>
  </si>
  <si>
    <t xml:space="preserve">Beta không có sai số</t>
  </si>
  <si>
    <t xml:space="preserve">Damodaran: “The beta estimate for a typical US company has a standard error that is about 0.20”, nên “the true beta could be anywhere from 0.70 to 1.50”. Beta còn đổi theo chỉ số tham chiếu và khoảng thời gian chọn.</t>
  </si>
  <si>
    <t xml:space="preserve">https://aswathdamodaran.blogspot.com/2009/02/problem-with-regression-betas.html</t>
  </si>
  <si>
    <t xml:space="preserve">Q089</t>
  </si>
  <si>
    <t xml:space="preserve">Theo quy ước của CafeF, cổ phiếu mới niêm yết dưới 30 phiên được tính beta thế nào?</t>
  </si>
  <si>
    <t xml:space="preserve">Tính trên số phiên có sẵn</t>
  </si>
  <si>
    <t xml:space="preserve">Không tính beta</t>
  </si>
  <si>
    <t xml:space="preserve">Gán beta bằng 1</t>
  </si>
  <si>
    <t xml:space="preserve">Lấy beta trung bình ngành</t>
  </si>
  <si>
    <t xml:space="preserve">CafeF quy định: beta “được tính dựa trên dữ liệu giao dịch 100 phiên liên tiếp gần thời điểm hiện tại nhất”; dưới 30 phiên thì không tính; từ 30 đến dưới 100 phiên thì tính từ lúc bắt đầu giao dịch. VnExpress bổ sung beta “không phù hợp để đánh giá các công ty mới thành lập, mới lên sàn”.</t>
  </si>
  <si>
    <t xml:space="preserve">quy định</t>
  </si>
  <si>
    <t xml:space="preserve">https://cafef.vn/du-lieu/help/hesobeta.aspx</t>
  </si>
  <si>
    <t xml:space="preserve">Q090</t>
  </si>
  <si>
    <t xml:space="preserve">Cổ phiếu UPCoM thanh khoản thấp cho beta rất nhỏ. Kết luận nào đúng?</t>
  </si>
  <si>
    <t xml:space="preserve">Cổ phiếu này ít rủi ro hơn thị trường</t>
  </si>
  <si>
    <t xml:space="preserve">Giao dịch thưa làm beta bị lệch xuống một cách có hệ thống</t>
  </si>
  <si>
    <t xml:space="preserve">Beta nhỏ do vốn hoá nhỏ</t>
  </si>
  <si>
    <t xml:space="preserve">Do sàn UPCoM biên độ rộng</t>
  </si>
  <si>
    <t xml:space="preserve">Nghiên cứu về thin trading: các phương pháp hiệu chỉnh (Scholes-Williams, Dimson, Hansen-Hodrick) giảm được độ lệch nhưng “less bias comes at the cost of a higher standard error”. Giao dịch không đồng bộ khiến beta ước lượng thấp hơn thực tế.</t>
  </si>
  <si>
    <t xml:space="preserve">https://ideas.repec.org/a/bla/jbfnac/v35y2008i9-10p1196-1219.html</t>
  </si>
  <si>
    <t xml:space="preserve">Q091</t>
  </si>
  <si>
    <t xml:space="preserve">do-lech-chuan-loi-suat-phien</t>
  </si>
  <si>
    <t xml:space="preserve">Buffett đánh giá thế nào về việc dùng biến động làm đại diện cho rủi ro?</t>
  </si>
  <si>
    <t xml:space="preserve">Đó là chuẩn mực đúng đắn</t>
  </si>
  <si>
    <t xml:space="preserve">Cách dạy đó dễ nhưng sai bét</t>
  </si>
  <si>
    <t xml:space="preserve">Chỉ đúng với danh mục lớn</t>
  </si>
  <si>
    <t xml:space="preserve">Đúng trong ngắn hạn</t>
  </si>
  <si>
    <t xml:space="preserve">Thư gửi cổ đông Berkshire: “Volatility is far from synonymous with risk” và “Though this pedagogic assumption makes for easy teaching, it is dead wrong”. Rủi ro thật là mất sức mua vĩnh viễn, không phải dao động giá.</t>
  </si>
  <si>
    <t xml:space="preserve">https://www.valueresearchonline.com/stories/27349/buffett-explains-why-volatility-is-not-risk-and-why-equity-is-best/</t>
  </si>
  <si>
    <t xml:space="preserve">Q092</t>
  </si>
  <si>
    <t xml:space="preserve">do-bien-dong-nam-hoa</t>
  </si>
  <si>
    <t xml:space="preserve">Quy tắc nhân căn bậc hai của thời gian để quy biến động về năm đúng khi nào?</t>
  </si>
  <si>
    <t xml:space="preserve">Luôn đúng</t>
  </si>
  <si>
    <t xml:space="preserve">Khi lợi suất độc lập và phân phối chuẩn — thực tế thị trường có xu hướng và phụ thuộc đường đi</t>
  </si>
  <si>
    <t xml:space="preserve">Chỉ đúng với cổ phiếu</t>
  </si>
  <si>
    <t xml:space="preserve">Chỉ đúng khi biến động dưới 20%</t>
  </si>
  <si>
    <t xml:space="preserve">Nguồn: “Underlying the sqrt[t] relationship... is the assumption that stock market returns follow a Gaussian distribution” và “returns in the real world are not randomly sampled from some distribution, they are path-dependent”; xu hướng khiến ước lượng căn bậc hai bị thấp đi trong dài hạn.</t>
  </si>
  <si>
    <t xml:space="preserve">https://www.sixfigureinvesting.com/2014/06/volatility-and-the-square-root-of-time/</t>
  </si>
  <si>
    <t xml:space="preserve">Q093</t>
  </si>
  <si>
    <t xml:space="preserve">he-so-bien-thien</t>
  </si>
  <si>
    <t xml:space="preserve">Khi nào hệ số biến thiên mất ý nghĩa?</t>
  </si>
  <si>
    <t xml:space="preserve">Khi độ lệch chuẩn quá lớn</t>
  </si>
  <si>
    <t xml:space="preserve">Khi lợi suất kỳ vọng ở mẫu số bằng 0 hoặc âm</t>
  </si>
  <si>
    <t xml:space="preserve">Khi số quan sát dưới 30</t>
  </si>
  <si>
    <t xml:space="preserve">Khi danh mục có trên 20 mã</t>
  </si>
  <si>
    <t xml:space="preserve">Nguồn tiếng Việt: “nếu lợi nhuận kì vọng nằm ở mẫu số bằng 0 hoặc âm thì hệ số biến thiên có thể sẽ sai” — tình huống rất thường gặp ở danh mục đang lỗ.</t>
  </si>
  <si>
    <t xml:space="preserve">https://vietnambiz.vn/he-so-bien-thien-coefficient-of-variation-cv-la-gi-nhung-dac-diem-can-luu-y-20191121233238319.htm</t>
  </si>
  <si>
    <t xml:space="preserve">Q094</t>
  </si>
  <si>
    <t xml:space="preserve">bien-do-dao-dong-lon-nhat</t>
  </si>
  <si>
    <t xml:space="preserve">Biên độ dao động giá một phiên trên HOSE, HNX và UPCoM lần lượt là bao nhiêu?</t>
  </si>
  <si>
    <t xml:space="preserve">±7%, ±10%, ±15%</t>
  </si>
  <si>
    <t xml:space="preserve">±5%, ±7%, ±10%</t>
  </si>
  <si>
    <t xml:space="preserve">±10%, ±15%, ±20%</t>
  </si>
  <si>
    <t xml:space="preserve">Giống nhau cả ba sàn</t>
  </si>
  <si>
    <t xml:space="preserve">Biên độ bị chặn theo SÀN chứ không theo cổ phiếu: HOSE ±7%, HNX ±10%, UPCoM ±15%; phiên chào sàn lần lượt ±20%, ±30%, ±40%. Vì vậy so biên độ một mã HOSE với một mã UPCoM là so hai trần khác nhau, không phải so mức biến động tự nhiên.</t>
  </si>
  <si>
    <t xml:space="preserve">https://www.dnse.com.vn/hoc/bien-do-dao-dong-gia-co-phieu</t>
  </si>
  <si>
    <t xml:space="preserve">Q095</t>
  </si>
  <si>
    <t xml:space="preserve">co-lenh-rui-ro</t>
  </si>
  <si>
    <t xml:space="preserve">Quy tắc 2% trong quản trị vốn nghĩa là gì?</t>
  </si>
  <si>
    <t xml:space="preserve">Mua cổ phiếu bằng 2% tài khoản</t>
  </si>
  <si>
    <t xml:space="preserve">Phần vốn chịu rủi ro tối đa 2% — tính bằng khoảng cách tới điểm dừng lỗ nhân khối lượng</t>
  </si>
  <si>
    <t xml:space="preserve">Lãi mục tiêu 2% mỗi lệnh</t>
  </si>
  <si>
    <t xml:space="preserve">Giữ 2% tiền mặt</t>
  </si>
  <si>
    <t xml:space="preserve">CME Group: “you never put more than 2% of your account equity at risk”, ví dụ “the 2% Rule tells you that you could risk no more than 20 ticks on the trade (5 contracts x $10/tick x 20 ticks = $1,000)”. Cỡ lệnh được suy ngược từ khoảng dừng lỗ, không phải đặt trước.</t>
  </si>
  <si>
    <t xml:space="preserve">https://www.cmegroup.com/education/courses/trade-and-risk-management/the-2-percent-rule</t>
  </si>
  <si>
    <t xml:space="preserve">Q096</t>
  </si>
  <si>
    <t xml:space="preserve">Nhà sáng lập FinPeace kể lại việc “all in full margin” để bắt đáy. Kết cục?</t>
  </si>
  <si>
    <t xml:space="preserve">Lãi lớn khi thị trường hồi</t>
  </si>
  <si>
    <t xml:space="preserve">Cháy tài khoản, mất khoảng 1 triệu USD</t>
  </si>
  <si>
    <t xml:space="preserve">Hoà vốn sau 2 năm</t>
  </si>
  <si>
    <t xml:space="preserve">Chỉ lỗ 30%</t>
  </si>
  <si>
    <t xml:space="preserve">Ông Nguyễn Tuấn Anh: “tôi quyết định tất tay - all in full margin vào cổ phiếu chứng khoán này”; “Ông bị cháy tài khoản và mất toàn bộ tài sản khi đó có được, khoảng 1 triệu USD”. Kết luận của ông: kiểu chơi này “về dài hạn gần như chắc chắn sẽ thua, bất kể trước đó họ đã thắng được bao nhiêu tiền”.</t>
  </si>
  <si>
    <t xml:space="preserve">https://cafebiz.vn/tung-chay-tai-khoan-mat-1-trieu-usd-vi-all-in-full-margin-nha-sang-lap-finpeace-chia-se-bi-kip-giup-nha-dau-tu-ne-nhung-cu-sap-tren-thi-truong-176221117102257897.chn</t>
  </si>
  <si>
    <t xml:space="preserve">Q097</t>
  </si>
  <si>
    <t xml:space="preserve">Danh mục gồm 15 mã thuộc nhiều ngành khác nhau. Rủi ro đã được giảm đáng kể chưa?</t>
  </si>
  <si>
    <t xml:space="preserve">Rồi, đó là đa dạng hoá chuẩn</t>
  </si>
  <si>
    <t xml:space="preserve">Chưa — danh mục vẫn nằm trong một loại tài sản, cùng chịu tác động khi thị trường chung giảm</t>
  </si>
  <si>
    <t xml:space="preserve">Rồi nếu có trên 10 mã</t>
  </si>
  <si>
    <t xml:space="preserve">Chỉ cần thêm cổ phiếu ngân hàng</t>
  </si>
  <si>
    <t xml:space="preserve">Ông Nguyễn Khoa (FinSuccess): “nhiều nhà đầu tư đang đa dạng hóa theo tên gọi tài sản thay vì bản chất rủi ro”. Bài chỉ ra khi thị trường suy giảm, sở hữu 10–20 mã vẫn không giúp giảm rủi ro đáng kể.</t>
  </si>
  <si>
    <t xml:space="preserve">https://tuoitre.vn/vi-sao-danh-muc-co-co-phieu-nhieu-nganh-nhung-van-rui-ro-100260810133658464.htm</t>
  </si>
  <si>
    <t xml:space="preserve">Q098</t>
  </si>
  <si>
    <t xml:space="preserve">Phân tích kỹ thuật</t>
  </si>
  <si>
    <t xml:space="preserve">rsi-wilder</t>
  </si>
  <si>
    <t xml:space="preserve">RSI vượt 70 trong một xu hướng tăng mạnh. Cách đọc đúng?</t>
  </si>
  <si>
    <t xml:space="preserve">Tín hiệu bán, chốt lời ngay</t>
  </si>
  <si>
    <t xml:space="preserve">Quá mua cũng là dấu hiệu SỨC MẠNH, RSI có thể ở trên 70 rất lâu</t>
  </si>
  <si>
    <t xml:space="preserve">Cổ phiếu đang đắt</t>
  </si>
  <si>
    <t xml:space="preserve">Sắp đảo chiều trong 3 phiên</t>
  </si>
  <si>
    <t xml:space="preserve">StockCharts: “Momentum oscillators can become overbought (oversold) and remain so in a strong up (down) trend” và “overbought can also be a sign of strength”. Bài khác nói rõ hơn: “RSI above 70 is not a red flag, but a green light for momentum”.</t>
  </si>
  <si>
    <t xml:space="preserve">https://chartschool.stockcharts.com/table-of-contents/technical-indicators-and-overlays/technical-indicators/relative-strength-index-rsi</t>
  </si>
  <si>
    <t xml:space="preserve">Q099</t>
  </si>
  <si>
    <t xml:space="preserve">Welles Wilder thiết kế RSI năm 1978 cho trạng thái thị trường nào?</t>
  </si>
  <si>
    <t xml:space="preserve">Thị trường xu hướng mạnh</t>
  </si>
  <si>
    <t xml:space="preserve">Thị trường đi ngang</t>
  </si>
  <si>
    <t xml:space="preserve">Mọi trạng thái</t>
  </si>
  <si>
    <t xml:space="preserve">Thị trường phái sinh</t>
  </si>
  <si>
    <t xml:space="preserve">Nguồn: “Welles Wilder, who created RSI in 1978, intended it to spot extremes in sideways markets. But there's an obvious twist (or trap): in trending markets, those rules of thumb don't always hold up”.</t>
  </si>
  <si>
    <t xml:space="preserve">https://articles.stockcharts.com/article/stockcharts-insider-how-an-overbought-rsi-can-be-your-best-buy-signal/</t>
  </si>
  <si>
    <t xml:space="preserve">Q100</t>
  </si>
  <si>
    <t xml:space="preserve">Bạn tự tính RSI 14 bằng trung bình cộng đơn giản và ra số lệch bảng điện 5–10 điểm. Vì sao?</t>
  </si>
  <si>
    <t xml:space="preserve">Do thiếu dữ liệu</t>
  </si>
  <si>
    <t xml:space="preserve">RSI chuẩn Wilder dùng làm mượt hệ số 1/n, không phải SMA cũng không phải EMA 2/(n+1)</t>
  </si>
  <si>
    <t xml:space="preserve">Do múi giờ</t>
  </si>
  <si>
    <t xml:space="preserve">Do bảng điện làm tròn</t>
  </si>
  <si>
    <t xml:space="preserve">Công thức Wilder: “Average Gain = [(previous Average Gain) x 13 + current Gain] / 14”. Nguồn ghi nhận “EMA RSI overshoots Wilder RSI by 5–10 points” và “The same 14-period RSI can display materially different values across platforms purely because of the smoothing method”.</t>
  </si>
  <si>
    <t xml:space="preserve">https://rsimonitor.com/articles/wilder-smoothing</t>
  </si>
  <si>
    <t xml:space="preserve">Q101</t>
  </si>
  <si>
    <t xml:space="preserve">Cùng mã, cùng chu kỳ 14 nhưng hai phần mềm ra RSI khác nhau. Nguyên nhân kỹ thuật?</t>
  </si>
  <si>
    <t xml:space="preserve">Một bên tính sai</t>
  </si>
  <si>
    <t xml:space="preserve">Làm mượt đệ quy nên giá trị phụ thuộc lượng dữ liệu nạp vào (điểm khởi đầu)</t>
  </si>
  <si>
    <t xml:space="preserve">Do giá điều chỉnh cổ tức</t>
  </si>
  <si>
    <t xml:space="preserve">Do chu kỳ 14 không chuẩn</t>
  </si>
  <si>
    <t xml:space="preserve">Trader trên diễn đàn: “RSI value depends on starting point and if you do not have enough data the calculations will not match”. StockCharts xác nhận: “RSI values may differ based on the total calculation period”.</t>
  </si>
  <si>
    <t xml:space="preserve">https://www.elitetrader.com/et/threads/rsi-vs-wilders-rsi-calculation.301359/</t>
  </si>
  <si>
    <t xml:space="preserve">Q102</t>
  </si>
  <si>
    <t xml:space="preserve">Phân kỳ giảm của RSI xuất hiện trong xu hướng tăng mạnh. Độ tin cậy?</t>
  </si>
  <si>
    <t xml:space="preserve">Rất cao, nên bán</t>
  </si>
  <si>
    <t xml:space="preserve">Thấp — xu hướng tăng mạnh sinh hàng loạt phân kỳ giảm trước khi đỉnh thật xuất hiện</t>
  </si>
  <si>
    <t xml:space="preserve">Chỉ tin nếu kèm khối lượng</t>
  </si>
  <si>
    <t xml:space="preserve">Luôn đúng sau 5 phiên</t>
  </si>
  <si>
    <t xml:space="preserve">StockCharts: “divergences are misleading in a strong trend. A strong uptrend can show numerous bearish divergences before a top materializes”. Nguồn VN (DSC) cũng ghi: RSI “có thể bị kẹt trong vùng quá mua hoặc quá bán trong thời gian dài, dẫn đến việc đưa ra các tín hiệu đảo chiều sớm và không chính xác”.</t>
  </si>
  <si>
    <t xml:space="preserve">Q103</t>
  </si>
  <si>
    <t xml:space="preserve">dai-bollinger-tren</t>
  </si>
  <si>
    <t xml:space="preserve">Giá chạm dải Bollinger trên. Theo chính John Bollinger, đây là gì?</t>
  </si>
  <si>
    <t xml:space="preserve">Tín hiệu bán</t>
  </si>
  <si>
    <t xml:space="preserve">Chỉ là một lần chạm (tag), tự nó không phải tín hiệu bán</t>
  </si>
  <si>
    <t xml:space="preserve">Tín hiệu mua</t>
  </si>
  <si>
    <t xml:space="preserve">Tín hiệu đảo chiều nếu kèm RSI trên 70</t>
  </si>
  <si>
    <t xml:space="preserve">Quy tắc số 6 trong bộ 22 quy tắc chính thức của John Bollinger: “Tags of the bands are just that, tags not signals. A tag of the upper Bollinger Band is NOT in-and-of-itself a sell signal”. Quy tắc 22: dải băng “do not provide continuous advice”.</t>
  </si>
  <si>
    <t xml:space="preserve">https://www.bollingerbands.com/bollinger-band-rules</t>
  </si>
  <si>
    <t xml:space="preserve">Q104</t>
  </si>
  <si>
    <t xml:space="preserve">dai-bollinger-duoi</t>
  </si>
  <si>
    <t xml:space="preserve">Trong xu hướng tăng mạnh, giá gần như không chạm dải dưới. Ý nghĩa?</t>
  </si>
  <si>
    <t xml:space="preserve">Chỉ báo bị lỗi</t>
  </si>
  <si>
    <t xml:space="preserve">Bình thường — giá đi bộ dọc dải trên, và “thấp tương đối” không có nghĩa là nên mua</t>
  </si>
  <si>
    <t xml:space="preserve">Phải đổi chu kỳ sang 50</t>
  </si>
  <si>
    <t xml:space="preserve">Sắp có điều chỉnh</t>
  </si>
  <si>
    <t xml:space="preserve">StockCharts: “Relatively low should not be considered bullish or a buy signal. Prices are high or low for a reason” và “It is also common for prices to never reach the lower band during an uptrend”.</t>
  </si>
  <si>
    <t xml:space="preserve">https://chartschool.stockcharts.com/table-of-contents/technical-indicators-and-overlays/technical-overlays/bollinger-bands</t>
  </si>
  <si>
    <t xml:space="preserve">Q105</t>
  </si>
  <si>
    <t xml:space="preserve">do-rong-dai-bollinger</t>
  </si>
  <si>
    <t xml:space="preserve">Dải Bollinger thắt lại (squeeze). Thông tin nào bạn KHÔNG có được?</t>
  </si>
  <si>
    <t xml:space="preserve">Biến động đang co lại</t>
  </si>
  <si>
    <t xml:space="preserve">Hướng của cú phá vỡ sắp tới</t>
  </si>
  <si>
    <t xml:space="preserve">Độ rộng dải đang ở mức thấp</t>
  </si>
  <si>
    <t xml:space="preserve">Có thể sắp có biến động mạnh</t>
  </si>
  <si>
    <t xml:space="preserve">StockCharts: “Narrowing bands do not provide any directional clues. They simply infer that volatility is contracting”. John Bollinger còn mô tả “head fake” — phá giả một chiều rồi đảo hẳn: “Unconfirmed band breaks are subject to failure”.</t>
  </si>
  <si>
    <t xml:space="preserve">https://chartschool.stockcharts.com/table-of-contents/trading-strategies-and-models/trading-strategies/bollinger-band-squeeze</t>
  </si>
  <si>
    <t xml:space="preserve">Q106</t>
  </si>
  <si>
    <t xml:space="preserve">Mã A có BandWidth 4%, mã B có 12%. So sánh trực tiếp được không?</t>
  </si>
  <si>
    <t xml:space="preserve">Được, A yên tĩnh hơn</t>
  </si>
  <si>
    <t xml:space="preserve">Không nên — mã vốn ít biến động luôn có BandWidth thấp, phải chuẩn hoá theo hồ sơ riêng</t>
  </si>
  <si>
    <t xml:space="preserve">Được nếu cùng ngành</t>
  </si>
  <si>
    <t xml:space="preserve">Được nếu cùng chu kỳ 20</t>
  </si>
  <si>
    <t xml:space="preserve">Tài liệu nêu rõ “securities with lower volatility inherently have lower BandWidth values, making direct comparisons problematic”.</t>
  </si>
  <si>
    <t xml:space="preserve">https://chartschool.stockcharts.com/table-of-contents/technical-indicators-and-overlays/technical-indicators/bollinger-bandwidth</t>
  </si>
  <si>
    <t xml:space="preserve">Q107</t>
  </si>
  <si>
    <t xml:space="preserve">phan-tram-b-bollinger</t>
  </si>
  <si>
    <t xml:space="preserve">%B vượt 1 nhiều lần trên biểu đồ Apple. Các tín hiệu “quá mua” đó ra sao?</t>
  </si>
  <si>
    <t xml:space="preserve">Đều chính xác</t>
  </si>
  <si>
    <t xml:space="preserve">Đều thất bại — nên chỉ tìm quá mua khi xu hướng trung hạn đang giảm</t>
  </si>
  <si>
    <t xml:space="preserve">Chỉ đúng nửa số lần</t>
  </si>
  <si>
    <t xml:space="preserve">Không kiểm chứng được</t>
  </si>
  <si>
    <t xml:space="preserve">StockCharts: “%B moved above 1 several times, but these overbought readings still failed to produce good sell signals”, và khuyến nghị “identify the bigger trend before looking for overbought or oversold readings”.</t>
  </si>
  <si>
    <t xml:space="preserve">https://chartschool.stockcharts.com/table-of-contents/technical-indicators-and-overlays/technical-indicators/b-indicator</t>
  </si>
  <si>
    <t xml:space="preserve">Q108</t>
  </si>
  <si>
    <t xml:space="preserve">macd-duong-chinh</t>
  </si>
  <si>
    <t xml:space="preserve">MACD lên mức cao nhất 2 năm. Đây có phải tín hiệu quá mua không?</t>
  </si>
  <si>
    <t xml:space="preserve">Phải</t>
  </si>
  <si>
    <t xml:space="preserve">Không — MACD không có biên trên/dưới nên không xác định quá mua/quá bán</t>
  </si>
  <si>
    <t xml:space="preserve">Phải nếu kèm RSI trên 70</t>
  </si>
  <si>
    <t xml:space="preserve">Chỉ đúng với cổ phiếu vốn hoá lớn</t>
  </si>
  <si>
    <t xml:space="preserve">StockCharts: “the MACD does not have any upper or lower limits to bind its movement. During sharp moves, the MACD can continue to over-extend beyond its historical extremes”. Giá trị MACD còn phụ thuộc thị giá nên không so sánh được giữa các mã.</t>
  </si>
  <si>
    <t xml:space="preserve">https://chartschool.stockcharts.com/table-of-contents/technical-indicators-and-overlays/technical-indicators/macd-moving-average-convergence-divergence-oscillator</t>
  </si>
  <si>
    <t xml:space="preserve">Q109</t>
  </si>
  <si>
    <t xml:space="preserve">macd-duong-tin-hieu</t>
  </si>
  <si>
    <t xml:space="preserve">MACD cắt xuống đường tín hiệu ở vùng cực trị dương. Nên hiểu thế nào?</t>
  </si>
  <si>
    <t xml:space="preserve">Tín hiệu bán đáng tin</t>
  </si>
  <si>
    <t xml:space="preserve">Thận trọng — ở vùng cực trị, động lượng chậm lại một cách cơ học sẽ tự sinh giao cắt</t>
  </si>
  <si>
    <t xml:space="preserve">Tín hiệu mua ngược</t>
  </si>
  <si>
    <t xml:space="preserve">Bỏ qua hoàn toàn</t>
  </si>
  <si>
    <t xml:space="preserve">StockCharts: “Signal line crossovers at positive or negative extremes should be viewed with caution... momentum is likely to slow and this will usually produce a signal line crossover at the extremities”. Giao cắt đường 0 trong thị trường không xu hướng còn gây whipsaw hàng loạt.</t>
  </si>
  <si>
    <t xml:space="preserve">Q110</t>
  </si>
  <si>
    <t xml:space="preserve">giao-cat-hai-duong-ma</t>
  </si>
  <si>
    <t xml:space="preserve">MA50 vừa cắt lên MA200 (Golden Cross). Điểm yếu của tín hiệu này?</t>
  </si>
  <si>
    <t xml:space="preserve">Chỉ đúng với chỉ số</t>
  </si>
  <si>
    <t xml:space="preserve">Là chỉ báo trễ — khi tín hiệu xuất hiện thị trường có thể đã chạy 10–20% từ đáy</t>
  </si>
  <si>
    <t xml:space="preserve">Cần khối lượng xác nhận mới đúng</t>
  </si>
  <si>
    <t xml:space="preserve">Chỉ dùng được khung tuần</t>
  </si>
  <si>
    <t xml:space="preserve">Backtest 20 năm S&amp;P 500: “The golden cross is a lagging indicator” và “by the time the signal fires, the market may have moved 10-20% off the bottom”. Môi giới VN (DSC) nói thêm: “việc mua ngay khi MA50 vừa cắt lên MA200 đôi khi có thể khiến bạn mua đúng nhịp điều chỉnh ngắn hạn”.</t>
  </si>
  <si>
    <t xml:space="preserve">https://tosindicators.com/research/golden-cross-trading-strategy-20-year-backtest-results</t>
  </si>
  <si>
    <t xml:space="preserve">Q111</t>
  </si>
  <si>
    <t xml:space="preserve">Hệ thống giao cắt MA hoạt động kém nhất trong điều kiện nào?</t>
  </si>
  <si>
    <t xml:space="preserve">Xu hướng tăng mạnh</t>
  </si>
  <si>
    <t xml:space="preserve">Thị trường đi ngang — sinh nhiều whipsaw</t>
  </si>
  <si>
    <t xml:space="preserve">Xu hướng giảm mạnh</t>
  </si>
  <si>
    <t xml:space="preserve">Phiên có khối lượng lớn</t>
  </si>
  <si>
    <t xml:space="preserve">StockCharts: “Securities spend much time in trading ranges, which renders moving averages ineffective” và “When there's no strong trend, a moving average crossover system will produce many whipsaws” — ví dụ Home Depot có “three whipsaws before catching a good trade”.</t>
  </si>
  <si>
    <t xml:space="preserve">https://chartschool.stockcharts.com/table-of-contents/technical-indicators-and-overlays/technical-overlays/moving-averages-simple-and-exponential</t>
  </si>
  <si>
    <t xml:space="preserve">Q112</t>
  </si>
  <si>
    <t xml:space="preserve">ema-n-phien</t>
  </si>
  <si>
    <t xml:space="preserve">“EMA tốt hơn SMA vì nhạy hơn”. Đánh giá?</t>
  </si>
  <si>
    <t xml:space="preserve">Đúng hoàn toàn</t>
  </si>
  <si>
    <t xml:space="preserve">Không cái nào tốt hơn — EMA ít trễ nhưng nhạy với nhiễu, SMA hợp hơn để xác định hỗ trợ/kháng cự</t>
  </si>
  <si>
    <t xml:space="preserve">SMA luôn tốt hơn</t>
  </si>
  <si>
    <t xml:space="preserve">Phụ thuộc vốn hoá cổ phiếu</t>
  </si>
  <si>
    <t xml:space="preserve">StockCharts: “One is not necessarily better”; EMA “have less lag and are, therefore, more sensitive to recent prices” còn SMA “represent a true average of prices for the entire period” và “may be better suited to identify support or resistance levels”.</t>
  </si>
  <si>
    <t xml:space="preserve">Q113</t>
  </si>
  <si>
    <t xml:space="preserve">sma-n-phien</t>
  </si>
  <si>
    <t xml:space="preserve">Đường trung bình động làm được việc gì?</t>
  </si>
  <si>
    <t xml:space="preserve">Dự báo hướng giá sắp tới</t>
  </si>
  <si>
    <t xml:space="preserve">Xác định hướng hiện tại, không dự báo</t>
  </si>
  <si>
    <t xml:space="preserve">Đo động lượng</t>
  </si>
  <si>
    <t xml:space="preserve">Đo khối lượng</t>
  </si>
  <si>
    <t xml:space="preserve">StockCharts: “A moving average doesn't predict price direction. Instead, it defines the current direction”, và “Don't expect to sell at the top and buy at the bottom using moving averages”.</t>
  </si>
  <si>
    <t xml:space="preserve">Q114</t>
  </si>
  <si>
    <t xml:space="preserve">atr-dao-dong-thuc</t>
  </si>
  <si>
    <t xml:space="preserve">ATR của cổ phiếu tăng gấp đôi trong một tuần. Thông tin này cho biết gì?</t>
  </si>
  <si>
    <t xml:space="preserve">Giá sắp tăng</t>
  </si>
  <si>
    <t xml:space="preserve">Biến động tăng — ATR không chứa thông tin về hướng</t>
  </si>
  <si>
    <t xml:space="preserve">Xu hướng tăng đang mạnh lên</t>
  </si>
  <si>
    <t xml:space="preserve">Khối lượng đang tăng</t>
  </si>
  <si>
    <t xml:space="preserve">StockCharts: “It is important to remember that ATR doesn't indicate price direction, just volatility”. Nguồn khác liệt kê 5 lỗi phổ biến của trader với ATR, gồm dùng ATR xác định hướng vào lệnh và đi tìm “phân kỳ ATR” — “ATR indicator isn't an oscillator”.</t>
  </si>
  <si>
    <t xml:space="preserve">https://chartschool.stockcharts.com/table-of-contents/technical-indicators-and-overlays/technical-indicators/average-true-range-atr</t>
  </si>
  <si>
    <t xml:space="preserve">Q115</t>
  </si>
  <si>
    <t xml:space="preserve">Mã A có ATR 1.200 đồng, mã B có ATR 3.500 đồng. So sánh được không?</t>
  </si>
  <si>
    <t xml:space="preserve">Được, B biến động hơn</t>
  </si>
  <si>
    <t xml:space="preserve">Không — ATR dựa trên thay đổi giá tuyệt đối nên phụ thuộc thị giá</t>
  </si>
  <si>
    <t xml:space="preserve">Được nếu cùng sàn</t>
  </si>
  <si>
    <t xml:space="preserve">Được nếu cùng chu kỳ 14</t>
  </si>
  <si>
    <t xml:space="preserve">StockCharts: “ATR is based on the True Range, which uses absolute price changes... ATR values are not comparable”. Nguồn về 5 sai lầm ATR cũng nêu việc so sánh ATR giữa các công cụ khác nhau là một trong số đó.</t>
  </si>
  <si>
    <t xml:space="preserve">Q116</t>
  </si>
  <si>
    <t xml:space="preserve">stochastic-k</t>
  </si>
  <si>
    <t xml:space="preserve">Stochastic %K vượt 80. Theo tài liệu gốc, nên làm gì?</t>
  </si>
  <si>
    <t xml:space="preserve">Bán ngay</t>
  </si>
  <si>
    <t xml:space="preserve">Chờ — trên 80 vừa là quá mua vừa là dấu hiệu mạnh; cần %K rơi xuống dưới 80 mới là tín hiệu đảo chiều</t>
  </si>
  <si>
    <t xml:space="preserve">Mua thêm</t>
  </si>
  <si>
    <t xml:space="preserve">Đổi sang chu kỳ 5</t>
  </si>
  <si>
    <t xml:space="preserve">StockCharts: “The indicator is overbought and strong when above 80. A subsequent move below 80 is needed to signal a reversal”. Chính George Lane nói “A %D divergence is the only signal which will cause you to buy or sell”. CTCK KIS Việt Nam cũng xếp việc bán máy móc ở mốc 80 vào lỗi phổ biến.</t>
  </si>
  <si>
    <t xml:space="preserve">https://chartschool.stockcharts.com/table-of-contents/technical-indicators-and-overlays/technical-indicators/stochastic-oscillator-fast-slow-and-full</t>
  </si>
  <si>
    <t xml:space="preserve">Q117</t>
  </si>
  <si>
    <t xml:space="preserve">vwap</t>
  </si>
  <si>
    <t xml:space="preserve">Bạn muốn vẽ VWAP trên biểu đồ tuần để tìm “giá trị hợp lý” dài hạn. Vấn đề?</t>
  </si>
  <si>
    <t xml:space="preserve">Không có vấn đề</t>
  </si>
  <si>
    <t xml:space="preserve">VWAP tính lũy kế từ mở cửa tới đóng cửa rồi reset — không định nghĩa cho khung ngày/tuần/tháng</t>
  </si>
  <si>
    <t xml:space="preserve">Phải đổi sang VWAP có trọng số</t>
  </si>
  <si>
    <t xml:space="preserve">Chỉ thiếu dữ liệu khối lượng</t>
  </si>
  <si>
    <t xml:space="preserve">StockCharts: “VWAP is not defined for daily, weekly, or monthly periods due to the nature of the calculation”, và khi vẽ qua nhiều phiên “the overlay will jump from its prior closing value to the typical price for the next open”. DSC (VN) xác nhận VWAP “thường được làm mới vào đầu mỗi ngày giao dịch”.</t>
  </si>
  <si>
    <t xml:space="preserve">https://chartschool.stockcharts.com/table-of-contents/technical-indicators-and-overlays/technical-overlays/volume-weighted-average-price-vwap</t>
  </si>
  <si>
    <t xml:space="preserve">Q118</t>
  </si>
  <si>
    <t xml:space="preserve">Vì sao VWAP phản ứng chậm dần về cuối phiên?</t>
  </si>
  <si>
    <t xml:space="preserve">Do khối lượng giảm</t>
  </si>
  <si>
    <t xml:space="preserve">Vì là chỉ báo lũy kế — số điểm dữ liệu tăng dần, cuối phiên hành xử như một đường trung bình dài</t>
  </si>
  <si>
    <t xml:space="preserve">Do lệnh ATC</t>
  </si>
  <si>
    <t xml:space="preserve">Do biên độ thu hẹp</t>
  </si>
  <si>
    <t xml:space="preserve">StockCharts: “VWAP is a cumulative indicator, which means the number of data points progressively increases throughout the day”. Nguồn khác mô tả: “Late in the session: The line starts to act like a long moving average” và nhắc “It isn't a crystal ball”.</t>
  </si>
  <si>
    <t xml:space="preserve">https://deepvue.com/indicators/how-vwap-actually-works/</t>
  </si>
  <si>
    <t xml:space="preserve">Q119</t>
  </si>
  <si>
    <t xml:space="preserve">roc-toc-do-thay-doi</t>
  </si>
  <si>
    <t xml:space="preserve">Phân kỳ ROC có báo trước đảo chiều không?</t>
  </si>
  <si>
    <t xml:space="preserve">Có, rất đáng tin</t>
  </si>
  <si>
    <t xml:space="preserve">Nguồn nói thẳng: thất bại nhiều hơn thành công</t>
  </si>
  <si>
    <t xml:space="preserve">Chỉ đúng khung tuần</t>
  </si>
  <si>
    <t xml:space="preserve">Chỉ đúng khi ROC âm</t>
  </si>
  <si>
    <t xml:space="preserve">StockCharts: “Divergences fail to foreshadow reversals more often than not”, và “Centerline crossovers are prone to whipsaw, especially short-term”.</t>
  </si>
  <si>
    <t xml:space="preserve">https://chartschool.stockcharts.com/table-of-contents/technical-indicators-and-overlays/technical-indicators/rate-of-change-roc</t>
  </si>
  <si>
    <t xml:space="preserve">Q120</t>
  </si>
  <si>
    <t xml:space="preserve">Dùng chung ngưỡng ROC ±10% cho mọi cổ phiếu. Đúng hay sai?</t>
  </si>
  <si>
    <t xml:space="preserve">Đúng, đó là chuẩn</t>
  </si>
  <si>
    <t xml:space="preserve">Sai — ngưỡng phụ thuộc mức biến động riêng của từng mã</t>
  </si>
  <si>
    <t xml:space="preserve">Đúng với cổ phiếu VN30</t>
  </si>
  <si>
    <t xml:space="preserve">Đúng nếu dùng chu kỳ 12</t>
  </si>
  <si>
    <t xml:space="preserve">StockCharts: “Overbought and oversold settings depend on the volatility of the underlying security. A more volatile stock may use -15% for oversold, while a less volatile stock may use -5%”.</t>
  </si>
  <si>
    <t xml:space="preserve">Q121</t>
  </si>
  <si>
    <t xml:space="preserve">dong-luong-momentum</t>
  </si>
  <si>
    <t xml:space="preserve">Mã A có Momentum = 3.000, mã B có Momentum = 800. Kết luận?</t>
  </si>
  <si>
    <t xml:space="preserve">A khoẻ hơn B</t>
  </si>
  <si>
    <t xml:space="preserve">Không so được — Momentum là chênh lệch tuyệt đối theo đơn vị tiền, không chia cho giá cũ</t>
  </si>
  <si>
    <t xml:space="preserve">B sắp tăng</t>
  </si>
  <si>
    <t xml:space="preserve">Phải cộng thêm khối lượng</t>
  </si>
  <si>
    <t xml:space="preserve">Nguồn: “Rate of change scales by the old close, so as to represent the increase as a fraction” — momentum cho thấy “a $3 rise over 20 days” trong khi ROC thể hiện “that as 0.25 for a 25% rise”. Muốn so sánh chéo mã phải dùng ROC.</t>
  </si>
  <si>
    <t xml:space="preserve">https://en.wikipedia.org/wiki/Momentum_(technical_analysis)</t>
  </si>
  <si>
    <t xml:space="preserve">Q122</t>
  </si>
  <si>
    <t xml:space="preserve">khoang-cach-gia-so-sma</t>
  </si>
  <si>
    <t xml:space="preserve">Giá đã lệch rất xa xuống dưới SMA200. Suy luận “thế nào cũng hồi về trung bình” sai ở đâu?</t>
  </si>
  <si>
    <t xml:space="preserve">SMA200 quá dài</t>
  </si>
  <si>
    <t xml:space="preserve">Thị trường không có nghĩa vụ quay lại mức giá cũ — trong xu hướng giảm mạnh giá vẫn giảm tiếp dù đã rẻ</t>
  </si>
  <si>
    <t xml:space="preserve">Phải dùng EMA thay SMA</t>
  </si>
  <si>
    <t xml:space="preserve">Cần chờ đủ 200 phiên</t>
  </si>
  <si>
    <t xml:space="preserve">Nguồn tiếng Việt: “thị trường không có nghĩa vụ phải quay lại mức giá cũ chỉ vì nhà đầu tư đang lỗ”, và “nếu không có điểm dừng lỗ, một giao dịch Mean Reversion sai có thể biến thành khoản kẹt hàng dài hạn”.</t>
  </si>
  <si>
    <t xml:space="preserve">https://trading.com.vn/blog/mean-reversion-la-gi-va-vi-sao-nhieu-nguoi-dung-sai</t>
  </si>
  <si>
    <t xml:space="preserve">Q123</t>
  </si>
  <si>
    <t xml:space="preserve">do-bien-dong-lich-su</t>
  </si>
  <si>
    <t xml:space="preserve">Biến động lịch sử của cổ phiếu tăng mạnh. Điều này nói gì về hướng giá?</t>
  </si>
  <si>
    <t xml:space="preserve">Giá sắp giảm</t>
  </si>
  <si>
    <t xml:space="preserve">Không gì cả — HV chỉ đo mức lệch khỏi trung bình, tức bất định tăng</t>
  </si>
  <si>
    <t xml:space="preserve">Xu hướng sắp đảo chiều</t>
  </si>
  <si>
    <t xml:space="preserve">Fidelity: “Historical Volatility does not measure direction; it measures how much the securities price is deviating from its average” — HV cao nghĩa là giá đang dao động mạnh hơn bình thường.</t>
  </si>
  <si>
    <t xml:space="preserve">https://www.fidelity.com/learning-center/trading-investing/technical-analysis/technical-indicator-guide/historical-volatility</t>
  </si>
  <si>
    <t xml:space="preserve">Q124</t>
  </si>
  <si>
    <t xml:space="preserve">Cùng mã, cùng tham số nhưng hai phần mềm cho biến động lịch sử khác nhau. Điều quan trọng nhất là gì?</t>
  </si>
  <si>
    <t xml:space="preserve">Tìm ra số đúng duy nhất</t>
  </si>
  <si>
    <t xml:space="preserve">Dùng NHẤT QUÁN một bộ quy ước — mẫu chia n−1 hay n, quy năm 252 hay 262, cửa sổ 20 hay 21</t>
  </si>
  <si>
    <t xml:space="preserve">Lấy trung bình hai số</t>
  </si>
  <si>
    <t xml:space="preserve">Dùng số cao hơn cho an toàn</t>
  </si>
  <si>
    <t xml:space="preserve">Nguồn: “different sources may use slightly different historical volatility formulas, so you can get different values for the same asset with the same settings”; “It is not that important whether you use 20 or 21 days, or 252 or 262 days. It is much more important to use the same parameters consistently”.</t>
  </si>
  <si>
    <t xml:space="preserve">https://www.macroption.com/historical-volatility-calculation/</t>
  </si>
  <si>
    <t xml:space="preserve">Q125</t>
  </si>
  <si>
    <t xml:space="preserve">ty-le-khoi-luong</t>
  </si>
  <si>
    <t xml:space="preserve">Phiên có khối lượng gấp 4 lần trung bình nhưng giá không tiến, đóng cửa đỏ. Thường là dấu hiệu gì?</t>
  </si>
  <si>
    <t xml:space="preserve">Dòng tiền vào mạnh, nên mua</t>
  </si>
  <si>
    <t xml:space="preserve">Thường đánh dấu vùng đỉnh</t>
  </si>
  <si>
    <t xml:space="preserve">Không có ý nghĩa</t>
  </si>
  <si>
    <t xml:space="preserve">Sắp có tin tốt</t>
  </si>
  <si>
    <t xml:space="preserve">Nguồn: “high volume alone doesn't predict direction”; volume là “intensity of interest, not sentiment”; và “a day with 4x normal volume but no price progress—or worse, a reversal day with volume spike and red candle—often marks a top”. Có phiên khối lượng vọt chỉ vì cơ cấu quỹ chỉ số.</t>
  </si>
  <si>
    <t xml:space="preserve">https://www.investing.com/academy/trading/volume-spike-stock-move-definition/</t>
  </si>
  <si>
    <t xml:space="preserve">Q126</t>
  </si>
  <si>
    <t xml:space="preserve">Bạn bật RSI, MACD và Stochastic, cả ba cùng báo mua. Đây có phải xác nhận không?</t>
  </si>
  <si>
    <t xml:space="preserve">Có, ba chỉ báo đồng thuận</t>
  </si>
  <si>
    <t xml:space="preserve">Không — cả ba đo cùng một thuộc tính là động lượng, chỉ củng cố thiên kiến</t>
  </si>
  <si>
    <t xml:space="preserve">Có nếu thêm khối lượng</t>
  </si>
  <si>
    <t xml:space="preserve">Có trên khung tuần</t>
  </si>
  <si>
    <t xml:space="preserve">Bài về tư duy John Bollinger trên TraderViet gọi đây là “multicollinearity”. Bài “10 sai lầm phân tích kỹ thuật” nêu dùng quá nhiều chỉ báo tạo ra “analysis paralysis” và tín hiệu xung đột. Xác nhận thật phải đến từ các LOẠI chỉ báo khác nhau: biến động, động lượng, khối lượng.</t>
  </si>
  <si>
    <t xml:space="preserve">https://traderviet.tv/t/phan-tich-ky-thuat-khong-co-loi-loi-la-do-ban-van-co-thu-voi-10-sai-lam-nay-phan-1.99488/</t>
  </si>
  <si>
    <t xml:space="preserve">Q127</t>
  </si>
  <si>
    <t xml:space="preserve">Lợi suất &amp; hiệu quả</t>
  </si>
  <si>
    <t xml:space="preserve">loi-suat-trung-binh-hinh-hoc</t>
  </si>
  <si>
    <t xml:space="preserve">Năm 1 lãi 50%, năm 2 lỗ 50%. Trung bình cộng bằng 0%. Tài khoản thực tế thế nào?</t>
  </si>
  <si>
    <t xml:space="preserve">Hoà vốn</t>
  </si>
  <si>
    <t xml:space="preserve">Mất 25%</t>
  </si>
  <si>
    <t xml:space="preserve">Mất 50%</t>
  </si>
  <si>
    <t xml:space="preserve">Lãi 25%</t>
  </si>
  <si>
    <t xml:space="preserve">100 → 150 → 75, tức mất 25%. Nguồn: “+50% and −50% average to 0% but leave you down 25%”. Đây là lý do phải dùng trung bình hình học: “the arithmetic mean is always greater than the geometric mean unless the numbers are identical”.</t>
  </si>
  <si>
    <t xml:space="preserve">https://adviceonly.com/glossary/annualized-return</t>
  </si>
  <si>
    <t xml:space="preserve">Q128</t>
  </si>
  <si>
    <t xml:space="preserve">Cổ phiếu giảm 20% từ 100.000 xuống 80.000 rồi tăng 20%. Giá bây giờ là bao nhiêu?</t>
  </si>
  <si>
    <t xml:space="preserve">100.000</t>
  </si>
  <si>
    <t xml:space="preserve">96.000</t>
  </si>
  <si>
    <t xml:space="preserve">104.000</t>
  </si>
  <si>
    <t xml:space="preserve">98.000</t>
  </si>
  <si>
    <t xml:space="preserve">80.000 × 1,2 = 96.000. Nguồn: “To break even, the stock would need to appreciate by 25%”. Khoảng cách giữa trung bình cộng và trung bình hình học chính là volatility drag.</t>
  </si>
  <si>
    <t xml:space="preserve">https://smartasset.com/advisor-resources/volatility-drag</t>
  </si>
  <si>
    <t xml:space="preserve">Q129</t>
  </si>
  <si>
    <t xml:space="preserve">Tư vấn viên nói quỹ có “lợi suất trung bình 10%/năm”. Câu hỏi nên đặt ra là gì?</t>
  </si>
  <si>
    <t xml:space="preserve">Quỹ có bao nhiêu tài sản</t>
  </si>
  <si>
    <t xml:space="preserve">Đó là trung bình cộng hay CAGR — hai con số có thể chênh nhau vài điểm phần trăm</t>
  </si>
  <si>
    <t xml:space="preserve">Phí quản lý bao nhiêu</t>
  </si>
  <si>
    <t xml:space="preserve">Ai là người quản lý</t>
  </si>
  <si>
    <t xml:space="preserve">Nguồn: “Brokers and advisors love to throw out averages because they're technically true”, nhưng “the average rate of return doesn't equal actual rate of return”. Tiền quảng cáo 10%/năm có thể chỉ thực tăng 7%/năm.</t>
  </si>
  <si>
    <t xml:space="preserve">https://prosperitythinkers.com/cagr-vs-average-growth-rate/</t>
  </si>
  <si>
    <t xml:space="preserve">Q130</t>
  </si>
  <si>
    <t xml:space="preserve">cagr</t>
  </si>
  <si>
    <t xml:space="preserve">Quỹ có CAGR 12%/năm trong 10 năm. Điều này KHÔNG nói gì?</t>
  </si>
  <si>
    <t xml:space="preserve">Tốc độ tăng trưởng gộp đều</t>
  </si>
  <si>
    <t xml:space="preserve">Biến động giữa kỳ và giai đoạn gần đây có kém không</t>
  </si>
  <si>
    <t xml:space="preserve">Giá trị đầu và cuối kỳ</t>
  </si>
  <si>
    <t xml:space="preserve">Số năm nắm giữ</t>
  </si>
  <si>
    <t xml:space="preserve">Nguồn: “It smooths out the volatility of returns to provide a single growth rate” và “longer time periods smooth out short-term volatility, potentially masking recent underperformance”.</t>
  </si>
  <si>
    <t xml:space="preserve">https://docs.tradingmetrics.com/en/technical-analysis/trading-metrics/performance-metrics/cagr</t>
  </si>
  <si>
    <t xml:space="preserve">Q131</t>
  </si>
  <si>
    <t xml:space="preserve">Bạn nộp 10 triệu/tháng vào quỹ mở suốt 12 tháng. Dùng CAGR để đo hiệu quả có đúng không?</t>
  </si>
  <si>
    <t xml:space="preserve">Đúng</t>
  </si>
  <si>
    <t xml:space="preserve">Không — CAGR giả định một khoản vốn cố định đầu kỳ; với dòng tiền rải rác phải dùng XIRR</t>
  </si>
  <si>
    <t xml:space="preserve">Đúng nếu số tiền mỗi tháng bằng nhau</t>
  </si>
  <si>
    <t xml:space="preserve">Đúng nếu nắm trên 3 năm</t>
  </si>
  <si>
    <t xml:space="preserve">Nguồn: “CAGR assumes a fixed investment figure at the start and end of the investment horizon, which is not consistent with the periodic nature of SIPs”, trong khi “XIRR factors in an SIP's irregular investment pattern”.</t>
  </si>
  <si>
    <t xml:space="preserve">https://www.axismf.com/mutual-fund-knowledge-centre/articles/how-to-assess-mutual-fund-returns</t>
  </si>
  <si>
    <t xml:space="preserve">Q132</t>
  </si>
  <si>
    <t xml:space="preserve">xirr</t>
  </si>
  <si>
    <t xml:space="preserve">Nộp đều 10 triệu/tháng trong 12 tháng (tổng 120 triệu), cuối năm còn 132 triệu. Bạn tính “lãi 10%/năm”. XIRR thực tế khoảng bao nhiêu?</t>
  </si>
  <si>
    <t xml:space="preserve">10%</t>
  </si>
  <si>
    <t xml:space="preserve">Khoảng 19%</t>
  </si>
  <si>
    <t xml:space="preserve">Khoảng 5%</t>
  </si>
  <si>
    <t xml:space="preserve">Khoảng 12%</t>
  </si>
  <si>
    <t xml:space="preserve">Phần lớn tiền chỉ nằm trong quỹ vài tháng nên lợi suất năm hoá cao hơn nhiều. Nguồn nêu đúng ví dụ này: “Absolute Return - 10%... XIRR - ~ 19% (annualised return considering the timing of each SIP instalment)”.</t>
  </si>
  <si>
    <t xml:space="preserve">https://www.kotakmf.com/Information/blogs/absolute-return-vs-xirr</t>
  </si>
  <si>
    <t xml:space="preserve">Q133</t>
  </si>
  <si>
    <t xml:space="preserve">Dòng tiền đổi dấu nhiều hơn một lần (+ + − − − +). IRR sẽ thế nào?</t>
  </si>
  <si>
    <t xml:space="preserve">Luôn có đúng một nghiệm</t>
  </si>
  <si>
    <t xml:space="preserve">Có thể có nhiều nghiệm thực, ví dụ vừa 0% vừa 10%</t>
  </si>
  <si>
    <t xml:space="preserve">Bằng trung bình các dòng tiền</t>
  </si>
  <si>
    <t xml:space="preserve">Nguồn: “When the sign of the cash flows changes more than once... the IRR may have multiple real values”, và nêu đúng ví dụ “0% as well as 10%”.</t>
  </si>
  <si>
    <t xml:space="preserve">https://en.wikipedia.org/wiki/Internal_rate_of_return</t>
  </si>
  <si>
    <t xml:space="preserve">Q134</t>
  </si>
  <si>
    <t xml:space="preserve">irr-nien-kim</t>
  </si>
  <si>
    <t xml:space="preserve">IRR của dự án là 25%. Giả định ngầm thường được nêu là gì?</t>
  </si>
  <si>
    <t xml:space="preserve">Lạm phát bằng 0</t>
  </si>
  <si>
    <t xml:space="preserve">Mọi dòng tiền dương được tái đầu tư ở chính mức 25%</t>
  </si>
  <si>
    <t xml:space="preserve">Dự án không có rủi ro</t>
  </si>
  <si>
    <t xml:space="preserve">Thuế suất bằng 0</t>
  </si>
  <si>
    <t xml:space="preserve">CFI: “it assumes all positive cash flows of a project will be reinvested at the same rate as the project” — điều hiếm khi xảy ra, nên MIRR ra đời để sửa. Lưu ý: giới học thuật còn tranh cãi giả định này có thực sự tồn tại hay không.</t>
  </si>
  <si>
    <t xml:space="preserve">https://corporatefinanceinstitute.com/resources/valuation/internal-rate-return-irr/</t>
  </si>
  <si>
    <t xml:space="preserve">Q135</t>
  </si>
  <si>
    <t xml:space="preserve">Vay tiêu dùng 100 triệu, hợp đồng ghi lãi 0,83%/tháng tính trên dư nợ gốc ban đầu, trả góp 12 tháng. Lãi suất hiệu dụng thực tế so với con số ghi trên hợp đồng?</t>
  </si>
  <si>
    <t xml:space="preserve">Bằng nhau</t>
  </si>
  <si>
    <t xml:space="preserve">Cao gần gấp đôi</t>
  </si>
  <si>
    <t xml:space="preserve">Thấp hơn</t>
  </si>
  <si>
    <t xml:space="preserve">Chênh khoảng 10%</t>
  </si>
  <si>
    <t xml:space="preserve">Phóng sự CafeF: “người vay phải chịu lãi suất gần gấp đôi, trong khi ít khách hàng biết được sự lắt léo này” — vì lãi vẫn tính trên toàn bộ vốn vay ban đầu dù mỗi tháng đã trả bớt gốc. Điều tra Tuổi Trẻ ghi nhận trường hợp lãi suất quy đổi lên tới 49,68%/năm.</t>
  </si>
  <si>
    <t xml:space="preserve">https://cafef.vn/tai-chinh-ngan-hang/vay-tieu-dung-tin-chap-nguoi-vay-tien-dang-bi-bop-co-200711269846808.chn</t>
  </si>
  <si>
    <t xml:space="preserve">Q136</t>
  </si>
  <si>
    <t xml:space="preserve">lai-suat-hieu-dung</t>
  </si>
  <si>
    <t xml:space="preserve">Lãi suất danh nghĩa 6%/năm, ghép lãi hằng tháng. Lãi suất hiệu dụng năm (EAR) là bao nhiêu?</t>
  </si>
  <si>
    <t xml:space="preserve">6,00%</t>
  </si>
  <si>
    <t xml:space="preserve">6,17%</t>
  </si>
  <si>
    <t xml:space="preserve">6,50%</t>
  </si>
  <si>
    <t xml:space="preserve">7,20%</t>
  </si>
  <si>
    <t xml:space="preserve">Nguồn: “a nominal rate of 6% compounded monthly gives an EAR of 6.17%, since each month 0.5% is applied and after 12 months the growth factor is [1.005]^12”. EAR tăng khi tần suất ghép lãi tăng, nên không so trực tiếp hai lãi suất danh nghĩa khác kỳ ghép lãi.</t>
  </si>
  <si>
    <t xml:space="preserve">https://en.wikipedia.org/wiki/Effective_interest_rate</t>
  </si>
  <si>
    <t xml:space="preserve">Q137</t>
  </si>
  <si>
    <t xml:space="preserve">Khoản vay ghi “APR”. Chữ “annual” có đảm bảo đó là chi phí vay thực của cả năm không?</t>
  </si>
  <si>
    <t xml:space="preserve">Không — APR danh nghĩa là lãi đơn; APR hiệu dụng gồm phí cộng lãi kép, một khoản phí nhỏ có thể đẩy nó lên rất cao</t>
  </si>
  <si>
    <t xml:space="preserve">Có nếu vay trên 12 tháng</t>
  </si>
  <si>
    <t xml:space="preserve">Có với ngân hàng, không với công ty tài chính</t>
  </si>
  <si>
    <t xml:space="preserve">Nguồn: “The nominal APR is the simple-interest rate (for a year). The effective APR is the fee+compound interest rate”; ví dụ một khoản phí 10 đô trên 100 đô đẩy APR hiệu dụng lên khoảng 435%. Và: “Despite the word annual in APR, it is not necessarily a direct reference for the interest rate paid on a stable balance over one year”.</t>
  </si>
  <si>
    <t xml:space="preserve">https://en.wikipedia.org/wiki/Annual_percentage_rate</t>
  </si>
  <si>
    <t xml:space="preserve">Q138</t>
  </si>
  <si>
    <t xml:space="preserve">loi-suat-thuc</t>
  </si>
  <si>
    <t xml:space="preserve">Lãi tiền gửi 10%/năm, lạm phát 25%. Mất bao nhiêu sức mua?</t>
  </si>
  <si>
    <t xml:space="preserve">15%</t>
  </si>
  <si>
    <t xml:space="preserve">12%</t>
  </si>
  <si>
    <t xml:space="preserve">25%</t>
  </si>
  <si>
    <t xml:space="preserve">Phép trừ 10 − 25 = −15% chỉ là xấp xỉ. Công thức Fisher chính xác: 1,1/1,25 − 1 = −12%. Nguồn ghi rõ: “the actual loss of purchasing power is exactly 12%”. Phép trừ chỉ gần đúng khi cả lãi suất lẫn lạm phát đều thấp.</t>
  </si>
  <si>
    <t xml:space="preserve">https://en.wikipedia.org/wiki/Real_interest_rate</t>
  </si>
  <si>
    <t xml:space="preserve">Q139</t>
  </si>
  <si>
    <t xml:space="preserve">Nguồn chính thống ở VN (ngân hàng, tạp chí chuyên ngành) phổ biến công thức nào cho lãi suất thực?</t>
  </si>
  <si>
    <t xml:space="preserve">Công thức Fisher chính xác</t>
  </si>
  <si>
    <t xml:space="preserve">Phép trừ: lãi suất danh nghĩa − tỷ lệ lạm phát</t>
  </si>
  <si>
    <t xml:space="preserve">Chia cho chỉ số CPI</t>
  </si>
  <si>
    <t xml:space="preserve">Nhân với hệ số điều chỉnh</t>
  </si>
  <si>
    <t xml:space="preserve">VPBank: “Lãi suất thực = Lãi suất danh nghĩa – Tỷ lệ lạm phát”; Tạp chí Thị trường Tài chính Tiền tệ cũng dùng cùng công thức. Đây là trường hợp ngộ nhận được củng cố từ chính nguồn chính thống — app nên hiện cả hai cách tính.</t>
  </si>
  <si>
    <t xml:space="preserve">https://www.vpbank.com.vn/bi-kip-va-chia-se/corporate-story-and-tips/corporate-sat-category/lai-suat-danh-nghia</t>
  </si>
  <si>
    <t xml:space="preserve">Q140</t>
  </si>
  <si>
    <t xml:space="preserve">thoi-gian-nhan-doi</t>
  </si>
  <si>
    <t xml:space="preserve">Quy tắc 72 chính xác nhất ở vùng lãi suất nào?</t>
  </si>
  <si>
    <t xml:space="preserve">Mọi mức lãi suất</t>
  </si>
  <si>
    <t xml:space="preserve">Khoảng 6–10%, chuẩn nhất quanh 8%</t>
  </si>
  <si>
    <t xml:space="preserve">Dưới 3%</t>
  </si>
  <si>
    <t xml:space="preserve">Trên 20%</t>
  </si>
  <si>
    <t xml:space="preserve">Nguồn: “the rule of 72 is most accurate for periodically compounded interests around 8%” và “the approximations are less accurate at higher interest rates”. Lãi suất thấp nên dùng 69,3; lãi suất cao nên dùng 78.</t>
  </si>
  <si>
    <t xml:space="preserve">https://en.wikipedia.org/wiki/Rule_of_72</t>
  </si>
  <si>
    <t xml:space="preserve">Q141</t>
  </si>
  <si>
    <t xml:space="preserve">roi</t>
  </si>
  <si>
    <t xml:space="preserve">Hai khoản đầu tư cùng ROI 25%. Thông tin còn thiếu là gì?</t>
  </si>
  <si>
    <t xml:space="preserve">Số tiền đầu tư</t>
  </si>
  <si>
    <t xml:space="preserve">Thời gian nắm giữ — ROI không chứa yếu tố thời gian</t>
  </si>
  <si>
    <t xml:space="preserve">Ngành nghề</t>
  </si>
  <si>
    <t xml:space="preserve">Phí giao dịch</t>
  </si>
  <si>
    <t xml:space="preserve">CFI: “The ROI Formula Disregards the Factor of Time” — “a return of 25% over 5 years is expressed the same way as a return of 25% over 5 days”.</t>
  </si>
  <si>
    <t xml:space="preserve">https://corporatefinanceinstitute.com/resources/accounting/return-on-investment-roi-formula</t>
  </si>
  <si>
    <t xml:space="preserve">Q142</t>
  </si>
  <si>
    <t xml:space="preserve">hpr</t>
  </si>
  <si>
    <t xml:space="preserve">Danh mục lãi 8% trong một quý. Có nên công bố “hơn 36%/năm” không?</t>
  </si>
  <si>
    <t xml:space="preserve">Nên, đó là cách quy chuẩn</t>
  </si>
  <si>
    <t xml:space="preserve">Không — chuẩn mực đo hiệu quả khuyến cáo không năm hoá kỳ dưới một năm</t>
  </si>
  <si>
    <t xml:space="preserve">Nên nếu ghi chú rõ</t>
  </si>
  <si>
    <t xml:space="preserve">Nên với quỹ mở</t>
  </si>
  <si>
    <t xml:space="preserve">Nguồn: “Returns for periods of less than one year must not be annualized”, vì làm vậy “might be interpreted as suggesting that the rest of the year is most likely to have the same rate of return”. Cách diễn đạt khác: “technically defined and practically misleading”.</t>
  </si>
  <si>
    <t xml:space="preserve">https://en.wikipedia.org/wiki/Rate_of_return</t>
  </si>
  <si>
    <t xml:space="preserve">Q143</t>
  </si>
  <si>
    <t xml:space="preserve">loi-suat-nam-hoa</t>
  </si>
  <si>
    <t xml:space="preserve">Vì sao năm hoá một kỳ ngắn lại gây hiểu nhầm mạnh nhất với lợi suất cao?</t>
  </si>
  <si>
    <t xml:space="preserve">Vì phép năm hoá nhân chồng, ngầm giả định phần còn lại của năm cũng sinh lời như thế</t>
  </si>
  <si>
    <t xml:space="preserve">Do phí giao dịch</t>
  </si>
  <si>
    <t xml:space="preserve">Do thuế</t>
  </si>
  <si>
    <t xml:space="preserve">Cùng nguyên tắc trong chuẩn đo hiệu quả đầu tư: “Investment performance professionals generally advise against quoting annualized return over a holding period of less than a year”.</t>
  </si>
  <si>
    <t xml:space="preserve">https://en.wikipedia.org/wiki/Holding_period_return</t>
  </si>
  <si>
    <t xml:space="preserve">Q144</t>
  </si>
  <si>
    <t xml:space="preserve">loi-suat-quy-nam-theo-ngay</t>
  </si>
  <si>
    <t xml:space="preserve">Quy ước đếm ngày Actual/360 so với 30/360 ảnh hưởng thế nào tới người vay?</t>
  </si>
  <si>
    <t xml:space="preserve">Không khác gì</t>
  </si>
  <si>
    <t xml:space="preserve">Trả thêm lãi của 5–6 ngày mỗi năm, và gốc giảm chậm hơn</t>
  </si>
  <si>
    <t xml:space="preserve">Trả ít lãi hơn</t>
  </si>
  <si>
    <t xml:space="preserve">Chỉ ảnh hưởng năm nhuận</t>
  </si>
  <si>
    <t xml:space="preserve">Nguồn: “the borrower is paying interest for 5 or 6 additional days a year as compared to the 30/360 day count convention”, và “the loan's principal is reduced at a slightly lower rate” — để lại dư nợ cao hơn 1–2%.</t>
  </si>
  <si>
    <t xml:space="preserve">https://en.wikipedia.org/wiki/Day_count_convention</t>
  </si>
  <si>
    <t xml:space="preserve">Q145</t>
  </si>
  <si>
    <t xml:space="preserve">tong-loi-suat-tai-dau-tu</t>
  </si>
  <si>
    <t xml:space="preserve">Bạn tính lợi suất quỹ bằng phần trăm thay đổi của giá. Sai sót là gì?</t>
  </si>
  <si>
    <t xml:space="preserve">Quên trừ phí</t>
  </si>
  <si>
    <t xml:space="preserve">Bỏ qua cổ tức và lãi được tái đầu tư nên khai thiếu lợi suất</t>
  </si>
  <si>
    <t xml:space="preserve">Quên điều chỉnh lạm phát</t>
  </si>
  <si>
    <t xml:space="preserve">Quên thuế</t>
  </si>
  <si>
    <t xml:space="preserve">Nguồn: “Total Return assumes that dividends and interest are reinvested in the funds”, còn cách tính bỏ qua tái đầu tư “slightly understates the total return”.</t>
  </si>
  <si>
    <t xml:space="preserve">https://en.wikipedia.org/wiki/Total_return</t>
  </si>
  <si>
    <t xml:space="preserve">Q146</t>
  </si>
  <si>
    <t xml:space="preserve">loi-suat-vuot-chuan</t>
  </si>
  <si>
    <t xml:space="preserve">Danh mục lãi 20% trong khi chỉ số tham chiếu lãi 15%. Kết luận nào đúng?</t>
  </si>
  <si>
    <t xml:space="preserve">Chắc chắn có alpha dương</t>
  </si>
  <si>
    <t xml:space="preserve">Chưa chắc — phải điều chỉnh rủi ro; vị thế quá rủi ro vẫn có thể cho alpha âm</t>
  </si>
  <si>
    <t xml:space="preserve">Nhà quản lý giỏi</t>
  </si>
  <si>
    <t xml:space="preserve">Nên tăng tỷ trọng</t>
  </si>
  <si>
    <t xml:space="preserve">Nguồn: “although a return of 20% may appear good, the investment can still have a negative alpha if it's involved in an excessively risky position”, và lưu ý “a single stock index might not be representative of the investment's holdings”.</t>
  </si>
  <si>
    <t xml:space="preserve">https://en.wikipedia.org/wiki/Alpha_(finance)</t>
  </si>
  <si>
    <t xml:space="preserve">Q147</t>
  </si>
  <si>
    <t xml:space="preserve">ty-suat-co-tuc</t>
  </si>
  <si>
    <t xml:space="preserve">Mua cổ phiếu ngày trước chốt quyền, hôm sau nhận cổ tức 2.000 đồng/cp rồi bán. Có lời chắc chắn không?</t>
  </si>
  <si>
    <t xml:space="preserve">Không — giá tham chiếu bị điều chỉnh giảm đúng bằng cổ tức, tổng tài sản không đổi</t>
  </si>
  <si>
    <t xml:space="preserve">Có nếu bán ngay trong phiên</t>
  </si>
  <si>
    <t xml:space="preserve">Có với cổ phiếu vốn hoá lớn</t>
  </si>
  <si>
    <t xml:space="preserve">Nguồn đặt đúng câu hỏi này và trả lời: “Không có dòng tiền mới nào được tạo ra, nó chỉ đơn thuần được chuyển từ sổ sách của công ty sang túi của cá nhân bạn” — 28.000 (giá sau điều chỉnh) + 2.000 (tiền mặt) = 30.000 như cũ.</t>
  </si>
  <si>
    <t xml:space="preserve">https://fesacademy.com.vn/thu-vien-dau-tu/ngay-giao-dich-khong-huong-quyen-la-gi-tai-sao-nhan-co-tuc-xong-gia-co-phieu-lai-giam/</t>
  </si>
  <si>
    <t xml:space="preserve">Q148</t>
  </si>
  <si>
    <t xml:space="preserve">Tỷ suất cổ tức của một cổ phiếu tăng từ 5% lên 10% trong khi doanh nghiệp giữ nguyên mức cổ tức. Điều gì đã xảy ra?</t>
  </si>
  <si>
    <t xml:space="preserve">Doanh nghiệp làm ăn tốt hơn</t>
  </si>
  <si>
    <t xml:space="preserve">Giá cổ phiếu đã giảm một nửa — tỷ suất tăng “ảo”</t>
  </si>
  <si>
    <t xml:space="preserve">Doanh nghiệp tăng cổ tức</t>
  </si>
  <si>
    <t xml:space="preserve">Số cổ phiếu lưu hành giảm</t>
  </si>
  <si>
    <t xml:space="preserve">Nguồn: “Nếu giá cổ phiếu giảm xuống 25.000 đồng nhưng doanh nghiệp vẫn trả 2.500 đồng, tỷ suất cổ tức trên mức giá mới sẽ tăng lên 10%” — và nếu giá giảm vì kinh doanh suy yếu thì chính mức cổ tức đó cũng khó duy trì. “Dividend Yield cao đôi khi là tín hiệu cần tìm hiểu thêm, chứ không phải tín hiệu mặc nhiên để mua vào”.</t>
  </si>
  <si>
    <t xml:space="preserve">https://kinhtechungkhoan.vn/chi-so-dividend-yield-co-tuc-cao-khong-dong-nghia-co-phieu-hap-dan</t>
  </si>
  <si>
    <t xml:space="preserve">Q149</t>
  </si>
  <si>
    <t xml:space="preserve">Phái sinh VN30F</t>
  </si>
  <si>
    <t xml:space="preserve">lai-lo-vi-the-long</t>
  </si>
  <si>
    <t xml:space="preserve">Vị thế phái sinh đang lỗ nhưng bạn chưa đóng. Khi nào khoản lỗ được ghi nhận?</t>
  </si>
  <si>
    <t xml:space="preserve">Chỉ khi đóng vị thế</t>
  </si>
  <si>
    <t xml:space="preserve">Cuối mỗi phiên, và phải thanh toán bằng tiền trước 9 giờ sáng hôm sau</t>
  </si>
  <si>
    <t xml:space="preserve">Cuối tháng</t>
  </si>
  <si>
    <t xml:space="preserve">Ngày đáo hạn</t>
  </si>
  <si>
    <t xml:space="preserve">Phái sinh hạch toán theo cơ chế mark-to-market. Nguồn: “Cuối mỗi ngày giao dịch, NĐT phải thanh toán toàn bộ lãi/lỗ phát sinh theo giá thực tế của HĐTL” và “Nếu tài khoản ghi nhận lỗ ròng, NĐT phải thanh toán toàn bộ số lỗ phát sinh trước 9 giờ sáng ngày hôm sau”. Không có chuyện “ôm lỗ chờ gỡ” như cổ phiếu cơ sở.</t>
  </si>
  <si>
    <t xml:space="preserve">https://www.vfs.com.vn/cach-dau-tu-chung-khoan-phai-sinh</t>
  </si>
  <si>
    <t xml:space="preserve">Q150</t>
  </si>
  <si>
    <t xml:space="preserve">Phiên đáo hạn 21/05/2020, HĐTL đóng cửa giá trần 864 điểm trong khi VN30 đóng cửa 815,55 điểm. Người mua tại giá trần lỗ bao nhiêu mỗi hợp đồng?</t>
  </si>
  <si>
    <t xml:space="preserve">Không lỗ vì mua đúng giá khớp</t>
  </si>
  <si>
    <t xml:space="preserve">4,845 triệu đồng</t>
  </si>
  <si>
    <t xml:space="preserve">480.000 đồng</t>
  </si>
  <si>
    <t xml:space="preserve">48,45 triệu đồng</t>
  </si>
  <si>
    <t xml:space="preserve">Lãi/lỗ ngày đáo hạn tính theo giá thanh toán dựa trên chỉ số VN30, không theo giá HĐTL. Chênh 48,45 điểm × hệ số nhân 100.000 đồng = 4,845 triệu đồng/hợp đồng. Báo chí ghi nhận: “mức lỗ đến từ sự chênh lệch giữa giá phái sinh và chỉ số cơ sở là 4,845 triệu đồng/hợp đồng”.</t>
  </si>
  <si>
    <t xml:space="preserve">https://tinnhanhchungkhoan.vn/chung-khoan/chay-tai-khoan-trong-phien-dao-han-chung-khoan-phai-sinh-328263.html</t>
  </si>
  <si>
    <t xml:space="preserve">Q151</t>
  </si>
  <si>
    <t xml:space="preserve">lai-lo-vi-the-short</t>
  </si>
  <si>
    <t xml:space="preserve">Cùng phiên 21/05/2020, người BÁN trong phiên ATC ở giá trần thì sao?</t>
  </si>
  <si>
    <t xml:space="preserve">Lỗ nặng vì giá tăng kịch trần</t>
  </si>
  <si>
    <t xml:space="preserve">Lãi đúng phần chênh 48,45 điểm khi thanh toán về VN30</t>
  </si>
  <si>
    <t xml:space="preserve">Bị huỷ lệnh</t>
  </si>
  <si>
    <t xml:space="preserve">Với hợp đồng đáo hạn, thanh toán về chỉ số cơ sở nên bên bán ở giá trần hưởng đúng phần chênh. Tổng chênh lệch giá trị trong phiên ATC gần 17,5 tỷ đồng, chuyển từ bên mua sang bên bán.</t>
  </si>
  <si>
    <t xml:space="preserve">https://tuoitre.vn/nld/vnmoney/chay-tai-khoan-trong-phien-dao-han-chung-khoan-phai-sinh-20200525101757216.htm</t>
  </si>
  <si>
    <t xml:space="preserve">Q152</t>
  </si>
  <si>
    <t xml:space="preserve">co-vi-the-phai-sinh</t>
  </si>
  <si>
    <t xml:space="preserve">Ký quỹ gần 14 triệu đồng cho một hợp đồng VN30F. Quy mô vị thế danh nghĩa là bao nhiêu?</t>
  </si>
  <si>
    <t xml:space="preserve">14 triệu</t>
  </si>
  <si>
    <t xml:space="preserve">80,75 triệu đồng (tại mức 807,5 điểm)</t>
  </si>
  <si>
    <t xml:space="preserve">28 triệu</t>
  </si>
  <si>
    <t xml:space="preserve">Bằng số dư tài khoản</t>
  </si>
  <si>
    <t xml:space="preserve">Nguồn ghi nhận đúng cặp số này: “giá trị danh nghĩa của 1 hợp đồng là 80,75 triệu đồng” trong khi “nhà đầu tư chỉ cần ký quỹ gần 14 triệu đồng”. Bạn đang chịu rủi ro trên toàn bộ quy mô danh nghĩa, không phải trên số tiền đã nộp.</t>
  </si>
  <si>
    <t xml:space="preserve">Q153</t>
  </si>
  <si>
    <t xml:space="preserve">Hệ số nhân hợp đồng VN30F là bao nhiêu?</t>
  </si>
  <si>
    <t xml:space="preserve">10.000 đồng/điểm</t>
  </si>
  <si>
    <t xml:space="preserve">100.000 đồng/điểm</t>
  </si>
  <si>
    <t xml:space="preserve">1 triệu đồng/điểm</t>
  </si>
  <si>
    <t xml:space="preserve">Thay đổi theo phiên</t>
  </si>
  <si>
    <t xml:space="preserve">Quy định giao dịch HĐTL chỉ số VN30: “Hệ số nhân hợp đồng: 100.000 đồng”. Nghĩa là biến động 10 điểm chỉ số bằng 1 triệu đồng mỗi hợp đồng — con số mà nhiều người mới coi là “vài điểm thì có đáng bao nhiêu”.</t>
  </si>
  <si>
    <t xml:space="preserve">https://www.phs.vn/san-pham-dich-vu/quy-dinh-ve-hdtl-chi-so-vn-30/22</t>
  </si>
  <si>
    <t xml:space="preserve">Q154</t>
  </si>
  <si>
    <t xml:space="preserve">Thuế TNCN với giao dịch phái sinh tính trên cái gì?</t>
  </si>
  <si>
    <t xml:space="preserve">Phần lãi</t>
  </si>
  <si>
    <t xml:space="preserve">Giá chuyển nhượng từng lần — lỗ vẫn phải nộp</t>
  </si>
  <si>
    <t xml:space="preserve">Số hợp đồng</t>
  </si>
  <si>
    <t xml:space="preserve">Tiền ký quỹ</t>
  </si>
  <si>
    <t xml:space="preserve">Quy định: “Thuế TNCN = Giá chuyển nhượng từng lần * 0,1%”. Giống thuế chứng khoán cơ sở, nghĩa vụ thuế không phụ thuộc lãi hay lỗ.</t>
  </si>
  <si>
    <t xml:space="preserve">Q155</t>
  </si>
  <si>
    <t xml:space="preserve">don-bay-hieu-dung</t>
  </si>
  <si>
    <t xml:space="preserve">Ký quỹ phái sinh có phải là khoản vay margin không?</t>
  </si>
  <si>
    <t xml:space="preserve">Phải, và phải trả lãi vay</t>
  </si>
  <si>
    <t xml:space="preserve">Không — đó là tài sản đảm bảo thanh toán, không chịu lãi vay nhưng phải thanh toán lãi/lỗ hằng ngày</t>
  </si>
  <si>
    <t xml:space="preserve">Phải, nhưng lãi suất thấp hơn</t>
  </si>
  <si>
    <t xml:space="preserve">Tuỳ công ty chứng khoán</t>
  </si>
  <si>
    <t xml:space="preserve">VnEconomy mô tả ký quỹ phái sinh là “tài sản đảm bảo thanh toán”; BSC: “nhà đầu tư không phải chịu thêm bất cứ một khoản lãi vay nào”. CME Group nói rõ: “It is not a down payment and you do not own the underlying commodity”.</t>
  </si>
  <si>
    <t xml:space="preserve">https://vneconomy.vn/chung-khoan-phai-sinh-truoc-gio-g-4-con-ac-mong-margin-call.htm</t>
  </si>
  <si>
    <t xml:space="preserve">Q156</t>
  </si>
  <si>
    <t xml:space="preserve">Mức lỗ tối đa khi giao dịch phái sinh có bằng số tiền đã ký quỹ không?</t>
  </si>
  <si>
    <t xml:space="preserve">Có, đó là toàn bộ rủi ro</t>
  </si>
  <si>
    <t xml:space="preserve">Không — có thể lỗ vượt 100% vốn khi giá gap qua điểm cắt lỗ</t>
  </si>
  <si>
    <t xml:space="preserve">Có nếu đặt lệnh dừng lỗ</t>
  </si>
  <si>
    <t xml:space="preserve">Có với hợp đồng tháng gần</t>
  </si>
  <si>
    <t xml:space="preserve">Nguồn VN: “có thể mất hơn 100% vốn nếu không quản lý rủi ro”. Đây là khác biệt cốt lõi với mua cổ phiếu bằng tiền mặt, nơi mức lỗ tối đa đúng bằng số tiền bỏ ra.</t>
  </si>
  <si>
    <t xml:space="preserve">https://vimo.cuthongthai.vn/blog/phai-sinh-vn30-huong-dan-co-ban</t>
  </si>
  <si>
    <t xml:space="preserve">Q157</t>
  </si>
  <si>
    <t xml:space="preserve">Vị thế của bạn đang LÃI. Có thể bị gọi ký quỹ bổ sung không?</t>
  </si>
  <si>
    <t xml:space="preserve">Có — khi giá trị tài sản tăng thì quy mô giao dịch tăng, yêu cầu ký quỹ tăng theo</t>
  </si>
  <si>
    <t xml:space="preserve">Chỉ khi giữ qua đêm</t>
  </si>
  <si>
    <t xml:space="preserve">Chỉ với vị thế bán</t>
  </si>
  <si>
    <t xml:space="preserve">VnEconomy nêu đúng nghịch lý này: “vị thế có lãi, nhưng nhà đầu tư vẫn có thể bị call margin” vì “Khi giá trị tài sản tăng lên tức là quy mô giao dịch cũng tăng, đồng nghĩa với việc phải tăng khoản đặt cọc”.</t>
  </si>
  <si>
    <t xml:space="preserve">Q158</t>
  </si>
  <si>
    <t xml:space="preserve">Đòn bẩy phái sinh thường được nói là “khoảng 6 lần”. Con số này cố định không?</t>
  </si>
  <si>
    <t xml:space="preserve">Cố định theo luật</t>
  </si>
  <si>
    <t xml:space="preserve">Không — phụ thuộc tỷ lệ ký quỹ do VSDC/CTCK áp dụng và mức điểm chỉ số; các nguồn ghi 13%, 15%, 17%, 15–20% ở những thời điểm khác nhau</t>
  </si>
  <si>
    <t xml:space="preserve">Cố định 10 lần</t>
  </si>
  <si>
    <t xml:space="preserve">Do nhà đầu tư tự chọn</t>
  </si>
  <si>
    <t xml:space="preserve">VFS tính đòn bẩy “cao gấp khoảng 6 lần chứng khoán cơ sở” với ký quỹ 13%; BSC nêu 15%; nguồn khác nêu 15–20%; tài liệu Pinetree nêu IM 17%. Vì vậy tỷ lệ ký quỹ phải là tham số cấu hình trong app, không hard-code.</t>
  </si>
  <si>
    <t xml:space="preserve">Q159</t>
  </si>
  <si>
    <t xml:space="preserve">so-hop-dong-toi-da</t>
  </si>
  <si>
    <t xml:space="preserve">Giới hạn vị thế HĐTL VN30 với nhà đầu tư cá nhân là bao nhiêu?</t>
  </si>
  <si>
    <t xml:space="preserve">Không giới hạn</t>
  </si>
  <si>
    <t xml:space="preserve">Dưới 5.000 hợp đồng</t>
  </si>
  <si>
    <t xml:space="preserve">Dưới 500 hợp đồng</t>
  </si>
  <si>
    <t xml:space="preserve">Dưới 20.000 hợp đồng</t>
  </si>
  <si>
    <t xml:space="preserve">Quy định: cá nhân “Dưới 5.000 Hợp đồng”, tổ chức dưới 10.000, nhà đầu tư chứng khoán chuyên nghiệp dưới 20.000. Nhiều người không biết thị trường VN có trần giới hạn vị thế theo từng nhà đầu tư.</t>
  </si>
  <si>
    <t xml:space="preserve">Q160</t>
  </si>
  <si>
    <t xml:space="preserve">Lấy toàn bộ vốn chia cho ký quỹ ban đầu để mở tối đa số hợp đồng. Sai ở đâu?</t>
  </si>
  <si>
    <t xml:space="preserve">Không sai nếu có lệnh dừng lỗ</t>
  </si>
  <si>
    <t xml:space="preserve">Phải chừa tiền cho ký quỹ biến đổi và call margin — khuyến nghị giữ dự phòng tiền mặt bằng 200% ký quỹ ban đầu</t>
  </si>
  <si>
    <t xml:space="preserve">Phải chia cho 2</t>
  </si>
  <si>
    <t xml:space="preserve">Chỉ sai với vị thế bán</t>
  </si>
  <si>
    <t xml:space="preserve">Bộ quy tắc trong nguồn VN: không dùng quá 30% tổng vốn cho phái sinh, và giữ sẵn tiền mặt bằng 200% ký quỹ ban đầu. DNSE khuyến nghị “phân bổ nguồn vốn hợp lý”, tránh đánh tất tay.</t>
  </si>
  <si>
    <t xml:space="preserve">Q161</t>
  </si>
  <si>
    <t xml:space="preserve">Tỷ lệ sử dụng ký quỹ chạm 100%. Điều gì xảy ra?</t>
  </si>
  <si>
    <t xml:space="preserve">Vẫn giao dịch bình thường</t>
  </si>
  <si>
    <t xml:space="preserve">VSD đề nghị tạm ngừng giao dịch; CTCK còn đặt ngưỡng xử lý thấp hơn nhiều</t>
  </si>
  <si>
    <t xml:space="preserve">Tài khoản bị đóng</t>
  </si>
  <si>
    <t xml:space="preserve">Được tự động nạp thêm</t>
  </si>
  <si>
    <t xml:space="preserve">Nguồn: “Khi tỷ lệ sử dụng ký quỹ đạt 100%, VSD sẽ gửi thông báo cho sở giao dịch đề nghị tạm ngừng giao dịch”, kèm không cho mở vị thế mới. Pinetree cảnh báo và đóng vị thế từ mức 75–90%, nên số hợp đồng thực mở được luôn ít hơn tính toán lý thuyết.</t>
  </si>
  <si>
    <t xml:space="preserve">Q162</t>
  </si>
  <si>
    <t xml:space="preserve">basis-vn30f</t>
  </si>
  <si>
    <t xml:space="preserve">Bạn đọc “basis âm” ở hai nguồn khác nhau. Vì sao có thể hiểu ngược?</t>
  </si>
  <si>
    <t xml:space="preserve">Một nguồn sai</t>
  </si>
  <si>
    <t xml:space="preserve">Hai quy ước dấu ngược nhau: giáo khoa quốc tế dùng Spot − Futures, bản tin VN dùng Futures − Spot</t>
  </si>
  <si>
    <t xml:space="preserve">Do khác hợp đồng tháng</t>
  </si>
  <si>
    <t xml:space="preserve">Finhay dùng “Basis = Giá giao ngay (Spot Price) − Giá tương lai (Futures Price)” và cảnh báo “quy ước tính basis khác nhau giữa các sàn”; trong khi bản tin MBS ghi “basis được nới rất rộng -15,29 điểm” với nghĩa phái sinh thấp hơn cơ sở. App cần nêu rõ quy ước mình dùng.</t>
  </si>
  <si>
    <t xml:space="preserve">https://www.finhay.com.vn/basis-la-gi</t>
  </si>
  <si>
    <t xml:space="preserve">Q163</t>
  </si>
  <si>
    <t xml:space="preserve">Basis nới rộng mạnh. Đây có phải cơ hội dễ kiếm lời không?</t>
  </si>
  <si>
    <t xml:space="preserve">Có, chênh lệch sẽ thu hẹp</t>
  </si>
  <si>
    <t xml:space="preserve">Bản tin phái sinh ghi ngược lại: basis nới rộng khiến hoạt động trading khó khăn hơn</t>
  </si>
  <si>
    <t xml:space="preserve">Có nếu basis dương</t>
  </si>
  <si>
    <t xml:space="preserve">Có với hợp đồng tháng xa</t>
  </si>
  <si>
    <t xml:space="preserve">Tiêu đề bản tin MBS: “HĐTL VN30 – CHÊNH LỆCH BASIS KHIẾN HOẠT ĐỘNG TRADING GẶP NHIỀU KHÓ KHĂN”, và “với độ lệch pha mạnh giữa hai thị trường vẫn đang -15,29 điểm thì hoạt động trading của giới đầu tư sẽ gặp nhiều khó khăn”.</t>
  </si>
  <si>
    <t xml:space="preserve">https://www.mbs.com.vn/media/nijlemqy/ban-tin-phai-sinh_20190222.pdf</t>
  </si>
  <si>
    <t xml:space="preserve">Q164</t>
  </si>
  <si>
    <t xml:space="preserve">Càng gần đáo hạn basis càng hội tụ êm ả về 0. Đúng không?</t>
  </si>
  <si>
    <t xml:space="preserve">Đúng, đó là quy luật</t>
  </si>
  <si>
    <t xml:space="preserve">Không — phiên ATC ngày đáo hạn có thể bật ra basis rất lớn, như +48,45 điểm ngày 21/05/2020</t>
  </si>
  <si>
    <t xml:space="preserve">Đúng với hợp đồng tháng gần</t>
  </si>
  <si>
    <t xml:space="preserve">Đúng nếu thanh khoản cao</t>
  </si>
  <si>
    <t xml:space="preserve">Ngày 21/05/2020, “giá hợp đồng tương lai đáo hạn trong phiên này vọt tăng, đóng cửa tại mức trần, đạt 864 điểm, cao hơn 48,45 điểm so với mức giá đóng cửa của VN30 (815,55 điểm)”.</t>
  </si>
  <si>
    <t xml:space="preserve">Q165</t>
  </si>
  <si>
    <t xml:space="preserve">gia-ly-thuyet-vn30f</t>
  </si>
  <si>
    <t xml:space="preserve">Giá lý thuyết của HĐTL VN30 là gì?</t>
  </si>
  <si>
    <t xml:space="preserve">Dự báo VN30 sẽ ở đâu khi đáo hạn</t>
  </si>
  <si>
    <t xml:space="preserve">Giá cân bằng theo chi phí nắm giữ: giá cơ sở cộng lãi vay trừ cổ tức</t>
  </si>
  <si>
    <t xml:space="preserve">Trung bình giá 30 phiên</t>
  </si>
  <si>
    <t xml:space="preserve">Giá do sở giao dịch công bố</t>
  </si>
  <si>
    <t xml:space="preserve">BSC: “Fair Value of the Futures = Spot Price + Cost of Carry”, “Giá tương lai = Giá cơ sở + (Lãi vay – cổ tức)”. Đây không phải kỳ vọng thị trường về mức chỉ số tương lai.</t>
  </si>
  <si>
    <t xml:space="preserve">https://www.bsc.com.vn/tin-tuc/tin-chi-tiet/653080-dinh-gia-hop-dong-tuong-lai</t>
  </si>
  <si>
    <t xml:space="preserve">Q166</t>
  </si>
  <si>
    <t xml:space="preserve">Giá thực tế lệch giá lý thuyết. Có arbitrage phi rủi ro ở thị trường VN không?</t>
  </si>
  <si>
    <t xml:space="preserve">Có, rất dễ</t>
  </si>
  <si>
    <t xml:space="preserve">Rất khó — khó dựng rổ chỉ số chính xác, bị hạn chế bán khống cơ sở, chi phí có thể triệt tiêu lợi nhuận</t>
  </si>
  <si>
    <t xml:space="preserve">Có nếu chênh trên 1 điểm</t>
  </si>
  <si>
    <t xml:space="preserve">Chỉ tổ chức nước ngoài làm được</t>
  </si>
  <si>
    <t xml:space="preserve">Nguồn phân tích rào cản tại VN: cần vốn lớn để dựng rổ chỉ số, hạn chế bán khống cổ phiếu cơ sở, cộng spread và trượt giá; mức chênh cần thiết thường phải từ 5 điểm trở lên mới đáng làm.</t>
  </si>
  <si>
    <t xml:space="preserve">https://vfin.vn/arbitrage-chi-so-vn30/</t>
  </si>
  <si>
    <t xml:space="preserve">Q167</t>
  </si>
  <si>
    <t xml:space="preserve">Giá thanh toán cuối cùng của HĐTL VN30 hiện được xác định thế nào?</t>
  </si>
  <si>
    <t xml:space="preserve">Giá đóng cửa VN30 ngày giao dịch cuối</t>
  </si>
  <si>
    <t xml:space="preserve">Trung bình số học chỉ số trong 30 phút cuối, sau khi loại 3 giá trị cao nhất và 3 giá trị thấp nhất</t>
  </si>
  <si>
    <t xml:space="preserve">Giá khớp cuối của HĐTL</t>
  </si>
  <si>
    <t xml:space="preserve">Trung bình cả phiên</t>
  </si>
  <si>
    <t xml:space="preserve">Tài liệu PHS mô tả cách tính hiện hành; tài liệu MBS cũ hơn vẫn ghi “Theo Giá đóng cửa của chỉ số VN30”. Quy định đã đổi sau các phiên đáo hạn bất thường — cần xác minh mốc hiệu lực trước khi đưa vào app.</t>
  </si>
  <si>
    <t xml:space="preserve">Q168</t>
  </si>
  <si>
    <t xml:space="preserve">Theo thống kê được báo chí dẫn, tỷ lệ nhà đầu tư có lợi nhuận trên thị trường phái sinh VN là bao nhiêu?</t>
  </si>
  <si>
    <t xml:space="preserve">Khoảng 50%</t>
  </si>
  <si>
    <t xml:space="preserve">Khoảng 30%</t>
  </si>
  <si>
    <t xml:space="preserve">Không có số liệu</t>
  </si>
  <si>
    <t xml:space="preserve">CafeF: “chỉ có 5% nhà đầu tư thu được lợi nhuận trên thị trường phái sinh, còn lại đa phần thua lỗ”. Ông Vũ Duy Khánh chỉ ra lỗi phổ biến: “giao dịch nhiều nhưng hiệu quả thấp, vì thường chốt lời các khoản lãi nhỏ, trong khi lỗ lớn”.</t>
  </si>
  <si>
    <t xml:space="preserve">https://cafef.vn/goc-toi-cua-chung-khoan-phai-sinh-20180712090321451.chn</t>
  </si>
  <si>
    <t xml:space="preserve">Q169</t>
  </si>
  <si>
    <t xml:space="preserve">Phí &amp; thuế</t>
  </si>
  <si>
    <t xml:space="preserve">thue-chuyen-nhuong</t>
  </si>
  <si>
    <t xml:space="preserve">Bạn cắt lỗ, bán 100 triệu đồng cổ phiếu mua giá 130 triệu. Thuế TNCN phải nộp?</t>
  </si>
  <si>
    <t xml:space="preserve">Không nộp vì lỗ</t>
  </si>
  <si>
    <t xml:space="preserve">100.000 đồng (0,1% trên giá bán)</t>
  </si>
  <si>
    <t xml:space="preserve">Nộp trên phần lỗ</t>
  </si>
  <si>
    <t xml:space="preserve">Nộp khi quyết toán cuối năm</t>
  </si>
  <si>
    <t xml:space="preserve">Thông tư 111/2013/TT-BTC (sửa đổi bởi Thông tư 25/2018): “Cá nhân chuyển nhượng chứng khoán nộp thuế theo thuế suất 0,1% trên giá chuyển nhượng chứng khoán từng lần” — không phân biệt lãi hay lỗ. Cử tri từng kiến nghị Bộ Tài chính rằng “bán chứng khoán lỗ vẫn đóng thuế 0,1% là chưa phù hợp”.</t>
  </si>
  <si>
    <t xml:space="preserve">https://thuvienphapluat.vn/ma-so-thue/phap-luat-thue/cat-lo-chung-khoan-thi-co-phai-dong-01-thue-tncn-khong-214868.html</t>
  </si>
  <si>
    <t xml:space="preserve">Q170</t>
  </si>
  <si>
    <t xml:space="preserve">Cuối năm danh mục lỗ. Bạn có được hoàn lại thuế 0,1% đã bị khấu trừ không?</t>
  </si>
  <si>
    <t xml:space="preserve">Được, khi quyết toán</t>
  </si>
  <si>
    <t xml:space="preserve">Không — đây là thuế khấu trừ tại nguồn, mang tính thuế cuối cùng</t>
  </si>
  <si>
    <t xml:space="preserve">Được 50%</t>
  </si>
  <si>
    <t xml:space="preserve">Được nếu lỗ trên 100 triệu</t>
  </si>
  <si>
    <t xml:space="preserve">Nguồn: thuế khấu trừ tại nguồn được coi là “thuế cuối cùng, không yêu cầu quyết toán bổ sung hay bù trừ lỗ lãi”. Khai sai để xin hoàn còn có thể bị phạt 1–5 triệu đồng.</t>
  </si>
  <si>
    <t xml:space="preserve">https://congtyluatacc.vn/lo-chung-khoan-co-duoc-hoan-thue-tncn-0-1-da-nop-khong/</t>
  </si>
  <si>
    <t xml:space="preserve">Q171</t>
  </si>
  <si>
    <t xml:space="preserve">Lỗ ở mã A, lãi ở mã B trong cùng kỳ. Có được bù trừ khi tính thuế không?</t>
  </si>
  <si>
    <t xml:space="preserve">Được</t>
  </si>
  <si>
    <t xml:space="preserve">Không — thuế tính trên giá trị bán từng lần, từng mã riêng biệt</t>
  </si>
  <si>
    <t xml:space="preserve">Được nếu cùng công ty chứng khoán</t>
  </si>
  <si>
    <t xml:space="preserve">Được nếu cùng tháng</t>
  </si>
  <si>
    <t xml:space="preserve">Không có cơ chế bù trừ lãi/lỗ: thuế 0,1% tính trên tổng giá trị bán của từng lần, không phải trên thu nhập ròng sau khi trừ lỗ.</t>
  </si>
  <si>
    <t xml:space="preserve">https://congtyluatacc.vn/chung-khoan-bi-lo-co-duoc-bu-tru-khi-tinh-thue-tncn-khong/</t>
  </si>
  <si>
    <t xml:space="preserve">Q172</t>
  </si>
  <si>
    <t xml:space="preserve">Theo Luật Thuế TNCN số 109/2025/QH15 (hiệu lực 01/7/2026), chứng khoán NIÊM YẾT bị đánh thuế thế nào?</t>
  </si>
  <si>
    <t xml:space="preserve">20% trên phần lãi</t>
  </si>
  <si>
    <t xml:space="preserve">Giữ 0,1% trên giá chuyển nhượng</t>
  </si>
  <si>
    <t xml:space="preserve">Miễn thuế</t>
  </si>
  <si>
    <t xml:space="preserve">2% trên giá bán</t>
  </si>
  <si>
    <t xml:space="preserve">Luật số 109/2025/QH15, Điều 13 khoản 2: “Thuế thu nhập cá nhân đối với thu nhập từ chuyển nhượng chứng khoán được xác định bằng giá chuyển nhượng nhân (x) với thuế suất 0,1%”. Đề xuất 20% trên lãi từng được nêu tháng 7/2025 rồi rút lại tháng 9/2025; đề xuất 3/2026 chỉ nhắm cổ phiếu CHƯA niêm yết.</t>
  </si>
  <si>
    <t xml:space="preserve">https://thuvienphapluat.vn/van-ban/Thue-Phi-Le-Phi/Luat-Thue-thu-nhap-ca-nhan-2025-so-109-2025-QH15-665870.aspx</t>
  </si>
  <si>
    <t xml:space="preserve">Q173</t>
  </si>
  <si>
    <t xml:space="preserve">Giao dịch giá trị nhỏ hoặc bán cổ phiếu lẻ có được miễn thuế 0,1% không?</t>
  </si>
  <si>
    <t xml:space="preserve">Có, dưới 10 triệu được miễn</t>
  </si>
  <si>
    <t xml:space="preserve">Không có ngưỡng miễn nào</t>
  </si>
  <si>
    <t xml:space="preserve">Có với cổ phiếu lẻ</t>
  </si>
  <si>
    <t xml:space="preserve">Nguồn: “No exemptions exist. Every stock sale triggers this tax. There's no minimum threshold”, và ghi nhận ngộ nhận phổ biến là tin “taxes only apply to profits or that small transactions are exempt. Neither is true”.</t>
  </si>
  <si>
    <t xml:space="preserve">https://aas.com.vn/thue-khi-ban-co-phieu/</t>
  </si>
  <si>
    <t xml:space="preserve">Q174</t>
  </si>
  <si>
    <t xml:space="preserve">phi-giao-dich-mua</t>
  </si>
  <si>
    <t xml:space="preserve">Phí giao dịch và thuế TNCN thu ở chiều nào?</t>
  </si>
  <si>
    <t xml:space="preserve">Cả hai đều thu hai chiều</t>
  </si>
  <si>
    <t xml:space="preserve">Phí thu cả chiều mua lẫn bán; thuế 0,1% chỉ thu chiều bán</t>
  </si>
  <si>
    <t xml:space="preserve">Cả hai chỉ thu chiều bán</t>
  </si>
  <si>
    <t xml:space="preserve">Phí chỉ thu chiều mua</t>
  </si>
  <si>
    <t xml:space="preserve">Nguồn: “Phí giao dịch chứng khoán sẽ tính cả 2 chiều phí mua và phí bán”, còn “Thuế thu nhập cá nhân chỉ thu khi nhà đầu tư thực hiện bán cổ phiếu thành công”.</t>
  </si>
  <si>
    <t xml:space="preserve">https://stockkisvn.vn/phi-va-thue-giao-dich-chung-khoan/</t>
  </si>
  <si>
    <t xml:space="preserve">Q175</t>
  </si>
  <si>
    <t xml:space="preserve">phi-giao-dich-ban</t>
  </si>
  <si>
    <t xml:space="preserve">Trần phí giao dịch mà công ty chứng khoán được thu theo Thông tư 128 là bao nhiêu?</t>
  </si>
  <si>
    <t xml:space="preserve">0,15%</t>
  </si>
  <si>
    <t xml:space="preserve">0,35%</t>
  </si>
  <si>
    <t xml:space="preserve">0,5%</t>
  </si>
  <si>
    <t xml:space="preserve">Không có trần</t>
  </si>
  <si>
    <t xml:space="preserve">VnExpress: theo Thông tư 128 của Bộ Tài chính hiệu lực từ 2/2019, “các công ty chứng khoán không được phép thu phí giao dịch quá 0,5% giá trị một lần giao dịch”. Mặt bằng thực tế khoảng 0,1–0,35%, và biểu phí công bố trải từ khoảng 0,027% tới 0,5%.</t>
  </si>
  <si>
    <t xml:space="preserve">https://vnexpress.net/phi-giao-dich-tai-cac-cong-ty-chung-khoan-lon-4304921.html</t>
  </si>
  <si>
    <t xml:space="preserve">Q176</t>
  </si>
  <si>
    <t xml:space="preserve">Cùng lệnh 166,5 triệu đồng, chênh lệch phí giữa các công ty chứng khoán có đáng kể không?</t>
  </si>
  <si>
    <t xml:space="preserve">Không đáng kể</t>
  </si>
  <si>
    <t xml:space="preserve">Rất đáng kể — phí 0,2% là 333.000 đồng, trong khi biểu phí thị trường trải từ khoảng 0,027% tới 0,5%</t>
  </si>
  <si>
    <t xml:space="preserve">Chỉ chênh vài nghìn đồng</t>
  </si>
  <si>
    <t xml:space="preserve">Các công ty thu như nhau</t>
  </si>
  <si>
    <t xml:space="preserve">VnExpress nêu ví dụ mua 1.000 MWG giá 166.500 đồng, phí 0,2% là 333.000 đồng. Bảng biểu phí công bố: TCBS 0,1% đồng hạng, MBS 0,12% online, VPS 0,2% online bậc thang, SSI 0,25% online, FPTS 0,06–0,15%.</t>
  </si>
  <si>
    <t xml:space="preserve">https://topi.vn/phi-giao-dich-chung-khoan.html</t>
  </si>
  <si>
    <t xml:space="preserve">Q177</t>
  </si>
  <si>
    <t xml:space="preserve">Mở tài khoản ở công ty “miễn phí giao dịch” thì giao dịch không tốn chi phí nào?</t>
  </si>
  <si>
    <t xml:space="preserve">Sai — vẫn còn thuế 0,1% khi bán, phí lưu ký hằng tháng và lãi margin</t>
  </si>
  <si>
    <t xml:space="preserve">Đúng nếu giao dịch online</t>
  </si>
  <si>
    <t xml:space="preserve">Đúng trong 6 tháng đầu</t>
  </si>
  <si>
    <t xml:space="preserve">Nguồn nhấn mạnh “free trading” không loại bỏ chi phí: thuế, phí lưu ký và lãi margin vẫn áp dụng bất kể chọn công ty nào.</t>
  </si>
  <si>
    <t xml:space="preserve">https://www.vfs.com.vn/phi-giao-dich-chung-khoan-re-nhat</t>
  </si>
  <si>
    <t xml:space="preserve">Q178</t>
  </si>
  <si>
    <t xml:space="preserve">phi-luu-ky</t>
  </si>
  <si>
    <t xml:space="preserve">Phí lưu ký chứng khoán tính trên cơ sở nào?</t>
  </si>
  <si>
    <t xml:space="preserve">Phần trăm giá trị danh mục</t>
  </si>
  <si>
    <t xml:space="preserve">Số lượng chứng khoán nắm giữ — 0,27 đồng/cổ phiếu/tháng</t>
  </si>
  <si>
    <t xml:space="preserve">Số lần giao dịch</t>
  </si>
  <si>
    <t xml:space="preserve">Số dư tiền mặt</t>
  </si>
  <si>
    <t xml:space="preserve">Theo Thông tư 127/2018/TT-BTC: cổ phiếu, chứng chỉ quỹ, chứng quyền 0,27 đồng/đơn vị/tháng. Nguồn ghi nhận nhà đầu tư thường nhầm phí lưu ký với phí giao dịch; phí này chỉ phụ thuộc SỐ LƯỢNG, không phụ thuộc giá trị danh mục. Đây cũng là chỗ rất dễ lập trình sai.</t>
  </si>
  <si>
    <t xml:space="preserve">https://thuvienchungkhoan.vn/phi-luu-ky-chung-khoan/</t>
  </si>
  <si>
    <t xml:space="preserve">Q179</t>
  </si>
  <si>
    <t xml:space="preserve">Tháng này bạn không mua bán gì. Có bị trừ phí lưu ký không?</t>
  </si>
  <si>
    <t xml:space="preserve">Có — phí tính theo số dư bình quân cuối mỗi ngày, gồm cả ngày nghỉ lễ</t>
  </si>
  <si>
    <t xml:space="preserve">Chỉ khi danh mục trên 100 triệu</t>
  </si>
  <si>
    <t xml:space="preserve">Nguồn: “Depository fees are separate from transaction fees and apply regardless of whether trading occurs”; ACBS minh hoạ “1.000 x 0,27 = 270 VNĐ” mỗi tháng và “Calculations include weekends and holidays”.</t>
  </si>
  <si>
    <t xml:space="preserve">https://acbs.com.vn/blog/phi-luu-ky-chung-khoan</t>
  </si>
  <si>
    <t xml:space="preserve">Q180</t>
  </si>
  <si>
    <t xml:space="preserve">Chuyển sang công ty chứng khoán khác có được phí lưu ký rẻ hơn không?</t>
  </si>
  <si>
    <t xml:space="preserve">Có, mỗi công ty một mức</t>
  </si>
  <si>
    <t xml:space="preserve">Không — phí trả cho VSDC, do Nhà nước quy định, giống nhau ở mọi công ty</t>
  </si>
  <si>
    <t xml:space="preserve">Có nếu danh mục lớn</t>
  </si>
  <si>
    <t xml:space="preserve">Có với tài khoản mở mới</t>
  </si>
  <si>
    <t xml:space="preserve">Nguồn: “Phí này giống nhau ở tất cả công ty chứng khoán (SSI, TCBS, VPS, DSC, v.v.)” và “Mức phí do Nhà nước quy định, không phải do các công ty chứng khoán quyết định”.</t>
  </si>
  <si>
    <t xml:space="preserve">https://www.dsc.com.vn/kien-thuc/phi-luu-ky-chung-khoan-la-gi</t>
  </si>
  <si>
    <t xml:space="preserve">Q181</t>
  </si>
  <si>
    <t xml:space="preserve">thue-co-tuc</t>
  </si>
  <si>
    <t xml:space="preserve">Nhận cổ tức bằng cổ phiếu. Nghĩa vụ thuế phát sinh thế nào?</t>
  </si>
  <si>
    <t xml:space="preserve">Miễn thuế vì không nhận tiền</t>
  </si>
  <si>
    <t xml:space="preserve">Khi bán, chịu 5% trên mệnh giá cộng 0,1% trên giá trị giao dịch</t>
  </si>
  <si>
    <t xml:space="preserve">Nộp 5% ngay khi nhận</t>
  </si>
  <si>
    <t xml:space="preserve">Nộp 20% trên phần lãi</t>
  </si>
  <si>
    <t xml:space="preserve">Theo Nghị định 126/2020/NĐ-CP, “nhà đầu tư bán chứng khoán được chia thưởng, được trả cổ tức sẽ bị khấu trừ 5% thuế thu nhập cá nhân”, cộng 0,1% trên giá trị giao dịch. Nghịch lý được nhà đầu tư nêu: cổ tức cổ phiếu không làm tăng tài sản nhưng vẫn phát sinh nghĩa vụ thuế.</t>
  </si>
  <si>
    <t xml:space="preserve">https://vneconomy.vn/thue-co-tuc-bang-co-phieu-nha-dau-tu-thiet-cong-ty-chung-khoan-roi-viec.htm</t>
  </si>
  <si>
    <t xml:space="preserve">Q182</t>
  </si>
  <si>
    <t xml:space="preserve">Doanh nghiệp đã nộp thuế TNDN trước khi chia cổ tức. Cổ đông cá nhân có phải nộp thêm không?</t>
  </si>
  <si>
    <t xml:space="preserve">Không, vì đã nộp một lần</t>
  </si>
  <si>
    <t xml:space="preserve">Có — cổ tức tiền mặt vẫn chịu thuế TNCN 5% khấu trừ tại nguồn</t>
  </si>
  <si>
    <t xml:space="preserve">Chỉ nộp nếu trên 10 triệu</t>
  </si>
  <si>
    <t xml:space="preserve">Chỉ nộp với cổ phiếu chưa niêm yết</t>
  </si>
  <si>
    <t xml:space="preserve">Lập luận “thuế chồng thuế” là quan điểm phản biện của nhà đầu tư, không phải quy định miễn trừ. Một nhà đầu tư đặt vấn đề vì sao cá nhân vẫn nộp khi “the company already paid corporate income tax on profits before distributing dividends” — nhưng luật vẫn quy định 5%.</t>
  </si>
  <si>
    <t xml:space="preserve">https://tuoitre.vn/thu-thue-ngay-khi-nhan-co-tuc-bang-co-phieu-chua-cam-tien-da-lo-nop-thue-20250701102729031.htm</t>
  </si>
  <si>
    <t xml:space="preserve">Q183</t>
  </si>
  <si>
    <t xml:space="preserve">thue-tncn-dau-tu</t>
  </si>
  <si>
    <t xml:space="preserve">Khoản nào sau đây được MIỄN thuế TNCN theo Luật số 109/2025/QH15?</t>
  </si>
  <si>
    <t xml:space="preserve">Cổ tức tiền mặt</t>
  </si>
  <si>
    <t xml:space="preserve">Lãi tiền gửi tại tổ chức tín dụng</t>
  </si>
  <si>
    <t xml:space="preserve">Lãi trái phiếu doanh nghiệp</t>
  </si>
  <si>
    <t xml:space="preserve">Cổ tức bằng cổ phiếu khi bán</t>
  </si>
  <si>
    <t xml:space="preserve">Luật số 109/2025/QH15, Điều 4 khoản 6 liệt kê thu nhập miễn thuế: “Thu nhập từ lãi trái phiếu chính phủ, lãi trái phiếu chính quyền địa phương, lãi tiền gửi tại tổ chức tín dụng, lãi từ hợp đồng bảo hiểm nhân thọ”. Cổ tức và lãi trái phiếu doanh nghiệp chịu 5% theo Điều 12 khoản 1.</t>
  </si>
  <si>
    <t xml:space="preserve">Q184</t>
  </si>
  <si>
    <t xml:space="preserve">gia-hoa-von</t>
  </si>
  <si>
    <t xml:space="preserve">Giá hoà vốn của một lệnh mua cổ phiếu gồm những gì?</t>
  </si>
  <si>
    <t xml:space="preserve">Chỉ giá mua</t>
  </si>
  <si>
    <t xml:space="preserve">Giá mua + phí mua + phí bán + thuế 0,1% trên giá bán</t>
  </si>
  <si>
    <t xml:space="preserve">Giá mua + phí mua</t>
  </si>
  <si>
    <t xml:space="preserve">Giá mua + thuế</t>
  </si>
  <si>
    <t xml:space="preserve">KIS nêu điểm hoà vốn phải gồm “purchase fees + selling fees + the 0.1% tax on sale value + original purchase price”, và nhấn mạnh thuế 0,1% “cannot be reduced by purchase costs or trading fees” — tức không được trừ giá vốn hay phí ra khỏi cơ sở tính thuế.</t>
  </si>
  <si>
    <t xml:space="preserve">https://kisvn.vn/hoc-dau-tu/thue-ban-co-phieu</t>
  </si>
  <si>
    <t xml:space="preserve">Q185</t>
  </si>
  <si>
    <t xml:space="preserve">loi-nhuan-rong</t>
  </si>
  <si>
    <t xml:space="preserve">Giao dịch lướt sóng nhiều lần trong năm nhưng lỗ ròng. Tổng thuế phải nộp thế nào?</t>
  </si>
  <si>
    <t xml:space="preserve">Bằng 0 vì lỗ</t>
  </si>
  <si>
    <t xml:space="preserve">Lớn hơn người ít giao dịch, chỉ vì khối lượng giao dịch cao</t>
  </si>
  <si>
    <t xml:space="preserve">Được giảm 50%</t>
  </si>
  <si>
    <t xml:space="preserve">Tính trên phần lỗ</t>
  </si>
  <si>
    <t xml:space="preserve">Chính Bộ Tài chính thừa nhận cơ chế tạo tình huống bất hợp lý khi “active traders pay more total tax simply from higher transaction volume, even with net losses”. Mỗi vòng mua–bán gánh: phí mua + phí bán + thuế bán 0,1% + phí lưu ký hằng tháng.</t>
  </si>
  <si>
    <t xml:space="preserve">https://vietstock.vn/2024/11/kien-nghi-cat-lo-chung-khoan-khong-can-dong-thue-143-1247891.htm</t>
  </si>
  <si>
    <t xml:space="preserve">Q186</t>
  </si>
  <si>
    <t xml:space="preserve">roi-rong</t>
  </si>
  <si>
    <t xml:space="preserve">Bán xong muốn dùng tiền ngay trước chu kỳ thanh toán T+2. Chi phí phát sinh?</t>
  </si>
  <si>
    <t xml:space="preserve">Không có</t>
  </si>
  <si>
    <t xml:space="preserve">Phí ứng trước tiền bán khoảng 0,03–0,04%/ngày</t>
  </si>
  <si>
    <t xml:space="preserve">Phí cố định 50.000 đồng</t>
  </si>
  <si>
    <t xml:space="preserve">Lãi suất margin</t>
  </si>
  <si>
    <t xml:space="preserve">Biểu phí công bố: “Advance Payment Interest: Ranges from 0,03%-0,04% daily when accessing sale proceeds before settlement (T+2)”. Khoản này trực tiếp làm giảm ROI ròng của giao dịch lướt sóng.</t>
  </si>
  <si>
    <t xml:space="preserve">https://www.vfs.com.vn/chi-phi-giao-dich-chung-khoan</t>
  </si>
  <si>
    <t xml:space="preserve">Q187</t>
  </si>
  <si>
    <t xml:space="preserve">Phí lưu ký bắt đầu tính từ thời điểm nào?</t>
  </si>
  <si>
    <t xml:space="preserve">Ngày khớp lệnh mua</t>
  </si>
  <si>
    <t xml:space="preserve">Ngày chứng khoán về tài khoản (ngày thanh toán)</t>
  </si>
  <si>
    <t xml:space="preserve">Ngày đặt lệnh</t>
  </si>
  <si>
    <t xml:space="preserve">Đầu tháng kế tiếp</t>
  </si>
  <si>
    <t xml:space="preserve">Nguồn: “Fees begin accruing on settlement day, not purchase date. They end when ownership actually transfers to the buyer during sales”.</t>
  </si>
  <si>
    <t xml:space="preserve">Q188</t>
  </si>
  <si>
    <t xml:space="preserve">Vay nợ, tiết kiệm &amp; DCA</t>
  </si>
  <si>
    <t xml:space="preserve">tra-gop-goc-deu</t>
  </si>
  <si>
    <t xml:space="preserve">Vay 120 triệu, 12%/năm, 12 tháng. Tổng lãi theo dư nợ gốc ban đầu và theo dư nợ giảm dần lần lượt là?</t>
  </si>
  <si>
    <t xml:space="preserve">14,4 triệu và 7,8 triệu</t>
  </si>
  <si>
    <t xml:space="preserve">14,4 triệu cả hai</t>
  </si>
  <si>
    <t xml:space="preserve">7,8 triệu và 14,4 triệu</t>
  </si>
  <si>
    <t xml:space="preserve">Nguồn tính sẵn: “Theo dư nợ gốc: Tiền lãi mỗi tháng 1.200.000 VND (không đổi), Tổng lãi 12 tháng: 14.400.000 VND” so với “Theo dư nợ giảm dần... Tổng lãi 12 tháng: 7.800.000 VND” — cùng một con số 12%/năm nhưng chênh gần gấp đôi.</t>
  </si>
  <si>
    <t xml:space="preserve">https://wiki.batdongsan.com.vn/wiki/du-no-goc-va-du-no-giam-dan-la-gi-109402</t>
  </si>
  <si>
    <t xml:space="preserve">Q189</t>
  </si>
  <si>
    <t xml:space="preserve">Gói A ghi 2,2%/tháng trên dư nợ gốc, gói B ghi 3,75%/tháng trên dư nợ giảm dần. Gói nào đắt hơn?</t>
  </si>
  <si>
    <t xml:space="preserve">Gói B vì con số lớn hơn</t>
  </si>
  <si>
    <t xml:space="preserve">Số tiền phải trả như nhau — hai con số chỉ là hai cách diễn đạt</t>
  </si>
  <si>
    <t xml:space="preserve">Gói A</t>
  </si>
  <si>
    <t xml:space="preserve">Không so được</t>
  </si>
  <si>
    <t xml:space="preserve">Nguồn nêu đúng cặp số này: “với lãi suất trên dư nợ gốc là 2.2%/tháng thì mức lãi suất trên dư nợ giảm dần sẽ là 3.75%/tháng, nhưng số tiền bạn phải trả như nhau”. Vì vậy phải hỏi phương pháp tính trước khi so hai con số.</t>
  </si>
  <si>
    <t xml:space="preserve">Q190</t>
  </si>
  <si>
    <t xml:space="preserve">lich-tra-no</t>
  </si>
  <si>
    <t xml:space="preserve">Trả góp niên kim 30 năm. Ở kỳ trả đầu tiên, bao nhiêu phần trăm tiền đi vào lãi?</t>
  </si>
  <si>
    <t xml:space="preserve">Khoảng 80–90%</t>
  </si>
  <si>
    <t xml:space="preserve">Khoảng 20%</t>
  </si>
  <si>
    <t xml:space="preserve">Chia đều gốc và lãi</t>
  </si>
  <si>
    <t xml:space="preserve">Nguồn: “payment 1 allocates about 80-90% of the total payment towards interest and only 10-20% toward the principal balance”, và điểm cân bằng gốc/lãi chỉ đến ở “payment 257 or over two thirds through the term”.</t>
  </si>
  <si>
    <t xml:space="preserve">https://en.wikipedia.org/wiki/Amortization_schedule</t>
  </si>
  <si>
    <t xml:space="preserve">Q191</t>
  </si>
  <si>
    <t xml:space="preserve">tra-gop-nien-kim</t>
  </si>
  <si>
    <t xml:space="preserve">Khoản trả hằng tháng cố định có nghĩa là gốc cũng được trả đều không?</t>
  </si>
  <si>
    <t xml:space="preserve">Không — tổng tiền giữ nguyên nhưng giai đoạn đầu phần lãi lớn hơn phần gốc</t>
  </si>
  <si>
    <t xml:space="preserve">Có nếu lãi suất cố định</t>
  </si>
  <si>
    <t xml:space="preserve">Có với khoản vay dưới 5 năm</t>
  </si>
  <si>
    <t xml:space="preserve">Bài trên Thời báo Ngân hàng: ngân hàng “chia đều số tiền cả lãi và gốc trong các năm để đảm bảo số tiền phải trả hàng tháng là khoản tương đối cố định”; có phương án 21 tháng đầu khách hàng “chỉ trả lãi cho khoản vay”, từ tháng 22 mới “trả cả lãi lẫn gốc”.</t>
  </si>
  <si>
    <t xml:space="preserve">https://thoibaonganhang.vn/nien-kim-co-dinh-don-gian-hoa-bai-toan-tai-chinh-cho-nguoi-mua-nha-84990.html</t>
  </si>
  <si>
    <t xml:space="preserve">Q192</t>
  </si>
  <si>
    <t xml:space="preserve">Anh Khôi vay 353 triệu mua xe, năm đầu ưu đãi 8,2%/năm. Sau ưu đãi, lãi suất thả nổi là bao nhiêu?</t>
  </si>
  <si>
    <t xml:space="preserve">Khoảng 10%</t>
  </si>
  <si>
    <t xml:space="preserve">18%/năm, và biên độ tăng từ 3,6% lên 6,6%</t>
  </si>
  <si>
    <t xml:space="preserve">Giữ nguyên 8,2%</t>
  </si>
  <si>
    <t xml:space="preserve">Trường hợp thật trên VietnamFinance: “khoản vay chuyển qua lãi suất thả nổi từ kỳ thanh toán tháng 7 với mức 18%/năm”. Điểm ít ai lường: không chỉ lãi suất cơ sở tăng mà BIÊN ĐỘ cũng bị nâng lên.</t>
  </si>
  <si>
    <t xml:space="preserve">https://vietnamfinance.vn/lai-tha-noi-cham-dinh-18-nam-nguoi-mua-nha-xe-tra-gop-ban-het-de-thoat-no-d150828.html</t>
  </si>
  <si>
    <t xml:space="preserve">Q193</t>
  </si>
  <si>
    <t xml:space="preserve">Khoản vay 3 tỷ đồng, lãi suất tăng 4 điểm phần trăm. Tiền trả hằng tháng thay đổi thế nào?</t>
  </si>
  <si>
    <t xml:space="preserve">Tăng khoảng 2 triệu</t>
  </si>
  <si>
    <t xml:space="preserve">Từ 30 triệu lên gần 40 triệu</t>
  </si>
  <si>
    <t xml:space="preserve">Không đổi, chỉ kéo dài kỳ hạn</t>
  </si>
  <si>
    <t xml:space="preserve">Tăng khoảng 5%</t>
  </si>
  <si>
    <t xml:space="preserve">Trường hợp chị Nguyễn Huyền (Hà Nội): “mỗi tháng chị phải gánh thêm khoảng 10 triệu đồng tiền lãi phát sinh, nâng tổng số tiền gốc và lãi phải trả hàng tháng từ 30 triệu lên gần 40 triệu đồng” — tăng khoảng một phần ba.</t>
  </si>
  <si>
    <t xml:space="preserve">https://docnhanh.vn/kinh-te/cu-soc-lai-suat-tha-noi-nguoi-mua-nha-ngop-tho-vi-chi-phi-tra-no-tang-them-ca-chuc-trieu-moi-thang-tintuc1033352</t>
  </si>
  <si>
    <t xml:space="preserve">Q194</t>
  </si>
  <si>
    <t xml:space="preserve">Thời gian ưu đãi lãi suất vay mua nhà ở VN phổ biến kéo dài bao lâu?</t>
  </si>
  <si>
    <t xml:space="preserve">3–5 năm</t>
  </si>
  <si>
    <t xml:space="preserve">6–12 tháng, sau đó lãi thực tế phổ biến 13–15%/năm</t>
  </si>
  <si>
    <t xml:space="preserve">Toàn bộ kỳ hạn</t>
  </si>
  <si>
    <t xml:space="preserve">24–36 tháng</t>
  </si>
  <si>
    <t xml:space="preserve">Nguồn: “Lãi suất vay mua nhà trong thời gian ưu đãi hiện phổ biến 8,5-11%/năm, với thời gian áp dụng thường kéo dài 6-12 tháng”, còn “Lãi suất thực tế người vay phải chịu hiện phổ biến 13-15%/năm”, tính bằng lãi suất cơ sở cộng biên độ khoảng 3,3–3,5%.</t>
  </si>
  <si>
    <t xml:space="preserve">https://dantri.com.vn/bat-dong-san/lai-vay-mua-nha-len-13-15-sau-uu-dai-lam-gi-de-tranh-can-kiet-dong-tien-20260811163931692.htm</t>
  </si>
  <si>
    <t xml:space="preserve">Q195</t>
  </si>
  <si>
    <t xml:space="preserve">Có tiền và muốn tất toán khoản vay sớm. Chi phí phát sinh?</t>
  </si>
  <si>
    <t xml:space="preserve">Phí trả nợ trước hạn tính bằng tỷ lệ % nhân số tiền trả trước, giảm dần theo số năm đã vay</t>
  </si>
  <si>
    <t xml:space="preserve">Phí cố định theo hợp đồng</t>
  </si>
  <si>
    <t xml:space="preserve">Chỉ mất phần lãi còn lại</t>
  </si>
  <si>
    <t xml:space="preserve">Thông tư 39/2016/TT-NHNN cho phép các bên thoả thuận phí trả nợ trước hạn. Mức công bố: Vietcombank 0,3–1% (khoản trung/dài hạn) hoặc 1,5% năm đầu và miễn từ năm thứ 6; Techcombank 2–3% tuỳ năm; OCB 3–5%; BVBank 3% năm đầu, miễn sau 4 năm.</t>
  </si>
  <si>
    <t xml:space="preserve">https://vnba.org.vn/vi/phi-phat-tra-no-truoc-han-duoc-tinh-nhu-the-nao-11962.htm</t>
  </si>
  <si>
    <t xml:space="preserve">Q196</t>
  </si>
  <si>
    <t xml:space="preserve">rut-truoc-han</t>
  </si>
  <si>
    <t xml:space="preserve">Gửi 100 triệu kỳ hạn 12 tháng lãi 5,5%/năm, rút toàn bộ ở tháng thứ 6. Nhận được bao nhiêu lãi?</t>
  </si>
  <si>
    <t xml:space="preserve">Khoảng 2,75 triệu (một nửa)</t>
  </si>
  <si>
    <t xml:space="preserve">Vài chục nghìn đồng — toàn bộ thời gian gửi tính lại theo lãi không kỳ hạn 0,1–0,2%/năm</t>
  </si>
  <si>
    <t xml:space="preserve">Mất trắng toàn bộ lãi</t>
  </si>
  <si>
    <t xml:space="preserve">Lãi theo kỳ hạn 6 tháng</t>
  </si>
  <si>
    <t xml:space="preserve">Nguồn nêu đúng ví dụ này: người gửi chỉ nhận vài chục nghìn đồng thay vì hơn 2,5 triệu đồng tiền lãi kỳ hạn. Lưu ý thêm: nhiều người tưởng rút trước hạn là “mất trắng” lãi, thực tế vẫn được hưởng lãi suất không kỳ hạn.</t>
  </si>
  <si>
    <t xml:space="preserve">https://kenh14.vn/rut-tien-tiet-kiem-giua-chung-ban-se-mat-bao-nhieu-lai-215251004185554376.chn</t>
  </si>
  <si>
    <t xml:space="preserve">Q197</t>
  </si>
  <si>
    <t xml:space="preserve">Gửi 1 tỷ lãi 6%/năm, cần gấp 500 triệu. Theo Thông tư 04/2022 (hiệu lực 01/8/2022), nên làm gì?</t>
  </si>
  <si>
    <t xml:space="preserve">Tất toán cả sổ</t>
  </si>
  <si>
    <t xml:space="preserve">Rút một phần — phần rút chịu lãi không kỳ hạn, 500 triệu còn lại vẫn hưởng 6%</t>
  </si>
  <si>
    <t xml:space="preserve">Vay cầm cố sổ</t>
  </si>
  <si>
    <t xml:space="preserve">Không rút được trước hạn</t>
  </si>
  <si>
    <t xml:space="preserve">Nguồn: “chỉ phần rút trước hạn chịu lãi suất không kỳ hạn, phần tiền gửi còn lại được ngân hàng giữ nguyên mức lãi suất”. Trước Thông tư 04/2022, rút trước hạn buộc phải tất toán toàn bộ và chịu lãi không kỳ hạn trên cả sổ.</t>
  </si>
  <si>
    <t xml:space="preserve">https://cafef.vn/rut-mot-phan-tien-tiet-kiem-truoc-ky-han-co-duoc-huong-lai-cao-188230918105219101.chn</t>
  </si>
  <si>
    <t xml:space="preserve">Q198</t>
  </si>
  <si>
    <t xml:space="preserve">lai-tien-gui</t>
  </si>
  <si>
    <t xml:space="preserve">Công thức tính lãi ngân hàng VN công bố dùng mẫu số nào?</t>
  </si>
  <si>
    <t xml:space="preserve">360 ngày</t>
  </si>
  <si>
    <t xml:space="preserve">365 ngày và số ngày sử dụng thực tế</t>
  </si>
  <si>
    <t xml:space="preserve">12 tháng tròn</t>
  </si>
  <si>
    <t xml:space="preserve">30 ngày mỗi tháng</t>
  </si>
  <si>
    <t xml:space="preserve">Công thức ngân hàng công bố: “Tiền lãi = ∑ (Dư nợ thực tế x Lãi suất/365 x Số ngày sử dụng)”. Nếu app dùng quy ước 30 ngày/tháng thì kết quả sẽ lệch so với số ngân hàng trả — ví dụ 1 tỷ gửi 6 tháng lãi 8,1%: quy ước 30 ngày ra 40,5 triệu, tính theo ngày thực ra khoảng 39,9 triệu.</t>
  </si>
  <si>
    <t xml:space="preserve">https://techcombank.com/thong-tin/blog/cach-tinh-lai-vay-ngan-hang</t>
  </si>
  <si>
    <t xml:space="preserve">Q199</t>
  </si>
  <si>
    <t xml:space="preserve">lai-kep</t>
  </si>
  <si>
    <t xml:space="preserve">Số tiền cuối kỳ do lãi kép tạo ra có phải mức giàu lên thật sự không?</t>
  </si>
  <si>
    <t xml:space="preserve">Không — phải trừ lạm phát; nếu giá cả tăng nhanh hơn thì vẫn lỗ sức mua</t>
  </si>
  <si>
    <t xml:space="preserve">Phải nếu gửi trên 10 năm</t>
  </si>
  <si>
    <t xml:space="preserve">Phải với lãi suất trên 8%</t>
  </si>
  <si>
    <t xml:space="preserve">Nguồn: “If the prices of the food, clothing, housing, and other things that she wishes to purchase have increased 25% over this period, she has, in fact, suffered a real loss of about 15% in her purchasing power”. Lãi kép danh nghĩa không đồng nghĩa sức mua tăng.</t>
  </si>
  <si>
    <t xml:space="preserve">Q200</t>
  </si>
  <si>
    <t xml:space="preserve">Nghiên cứu về hành vi tài chính ghi nhận con người có thiên lệch gì với tăng trưởng kép?</t>
  </si>
  <si>
    <t xml:space="preserve">Đánh giá quá cao</t>
  </si>
  <si>
    <t xml:space="preserve">Đánh giá thấp (exponential growth bias)</t>
  </si>
  <si>
    <t xml:space="preserve">Ước lượng chính xác</t>
  </si>
  <si>
    <t xml:space="preserve">Không có thiên lệch nào</t>
  </si>
  <si>
    <t xml:space="preserve">Nguồn: “Exponential growth bias is the tendency to underestimate compound growth processes. This bias can have financial implications as well” — dẫn nghiên cứu Stango &amp; Zinman (2009) trên The Journal of Finance.</t>
  </si>
  <si>
    <t xml:space="preserve">https://en.wikipedia.org/wiki/Exponential_growth_bias</t>
  </si>
  <si>
    <t xml:space="preserve">Q201</t>
  </si>
  <si>
    <t xml:space="preserve">Gửi tiết kiệm là tự động có lãi kép. Đúng không?</t>
  </si>
  <si>
    <t xml:space="preserve">Không — phải nhập lãi vào gốc và tái tục đều đặn thì mới thành lãi chồng lãi</t>
  </si>
  <si>
    <t xml:space="preserve">Đúng với kỳ hạn trên 12 tháng</t>
  </si>
  <si>
    <t xml:space="preserve">Đúng nếu lãi suất trên 6%</t>
  </si>
  <si>
    <t xml:space="preserve">Nguồn: lãi kép là khi “số tiền lãi được cộng dồn vào số tiền gốc để tiếp tục chu kỳ đầu tư mới” — tức phải tái tục đều đặn; hiệu quả thường chỉ rõ sau 10–20 năm.</t>
  </si>
  <si>
    <t xml:space="preserve">https://timo.vn/blogs/lai-suat-kep-la-gi/</t>
  </si>
  <si>
    <t xml:space="preserve">Q202</t>
  </si>
  <si>
    <t xml:space="preserve">gui-quay-vong</t>
  </si>
  <si>
    <t xml:space="preserve">Sổ tiết kiệm đáo hạn mà bạn không chỉ định gì. Rủi ro của tự động tái tục?</t>
  </si>
  <si>
    <t xml:space="preserve">Không có rủi ro</t>
  </si>
  <si>
    <t xml:space="preserve">Tiền bị khoá thêm một kỳ, và có nơi tái tục ở lãi suất thấp hơn kỳ ban đầu</t>
  </si>
  <si>
    <t xml:space="preserve">Bị chuyển sang không kỳ hạn</t>
  </si>
  <si>
    <t xml:space="preserve">Mất lãi kỳ trước</t>
  </si>
  <si>
    <t xml:space="preserve">Nguồn: “In the absence of such directions, the institution may roll over the CD automatically, once again tying up the money for a period of time” và “Some banks have been known to renew at rates lower than that of the original CD”.</t>
  </si>
  <si>
    <t xml:space="preserve">https://en.wikipedia.org/wiki/Certificate_of_deposit</t>
  </si>
  <si>
    <t xml:space="preserve">Q203</t>
  </si>
  <si>
    <t xml:space="preserve">gia-von-trung-binh-dca</t>
  </si>
  <si>
    <t xml:space="preserve">Có một khoản tiền lớn. Chia nhỏ giải ngân dần (DCA) hay bỏ vào một lần? Nghiên cứu Vanguard trên dữ liệu 1976–2022 nói gì?</t>
  </si>
  <si>
    <t xml:space="preserve">DCA thắng đa số</t>
  </si>
  <si>
    <t xml:space="preserve">Bỏ một lần thắng khoảng hai phần ba số lần</t>
  </si>
  <si>
    <t xml:space="preserve">Hai cách như nhau</t>
  </si>
  <si>
    <t xml:space="preserve">Chưa có nghiên cứu</t>
  </si>
  <si>
    <t xml:space="preserve">Vanguard: “Lump-sum investment strategies beat common cost averaging investment strategies two-thirds of the time” — “LS outperformed 68% of the time” trên thị trường Mỹ, Anh, Úc, Canada và EU.</t>
  </si>
  <si>
    <t xml:space="preserve">https://corporate.vanguard.com/content/dam/corp/research/pdf/cost_averaging_invest_now_or_temporarily_hold_your_cash.pdf</t>
  </si>
  <si>
    <t xml:space="preserve">Q204</t>
  </si>
  <si>
    <t xml:space="preserve">Vậy khi nào DCA vẫn là lựa chọn hợp lý?</t>
  </si>
  <si>
    <t xml:space="preserve">Khi muốn lợi nhuận cao nhất</t>
  </si>
  <si>
    <t xml:space="preserve">Khi nhà đầu tư sợ lỗ — đổi lợi nhuận kỳ vọng lấy giảm rủi ro</t>
  </si>
  <si>
    <t xml:space="preserve">Khi thị trường đang tăng</t>
  </si>
  <si>
    <t xml:space="preserve">Vanguard: “The relationship between increased return at the cost of additional risk-taking suggests that investors with higher loss aversion would be better off drip feeding their investment through a cost-averaging approach”. Chi phí cơ hội định lượng được: với 100.000 USD trong 1 năm, danh mục 100% cổ phiếu lump-sum cao hơn 2,2%.</t>
  </si>
  <si>
    <t xml:space="preserve">https://www.nl.vanguard/professional/vanguard-365/cost-averaging</t>
  </si>
  <si>
    <t xml:space="preserve">Q205</t>
  </si>
  <si>
    <t xml:space="preserve">so-ky-dca</t>
  </si>
  <si>
    <t xml:space="preserve">Rải vốn càng nhiều kỳ, càng lâu thì càng an toàn và càng lợi. Đúng không?</t>
  </si>
  <si>
    <t xml:space="preserve">Không — thời gian rải càng dài thì chi phí cơ hội càng lớn</t>
  </si>
  <si>
    <t xml:space="preserve">Đúng nếu trên 12 kỳ</t>
  </si>
  <si>
    <t xml:space="preserve">Đúng với danh mục 60/40</t>
  </si>
  <si>
    <t xml:space="preserve">Vanguard: “the longer the CA horizon—the time it takes to fully invest cash—the greater the opportunity cost incurred”. Ví dụ danh mục 60/40 với 100.000 USD: CA 3 tháng đạt 107.453 USD so với lump-sum 109.360 USD.</t>
  </si>
  <si>
    <t xml:space="preserve">Q206</t>
  </si>
  <si>
    <t xml:space="preserve">Phần lớn tranh luận “DCA có tốt không” thực ra đang nói về tình huống nào?</t>
  </si>
  <si>
    <t xml:space="preserve">Đầu tư đều đặn từ thu nhập hằng tháng</t>
  </si>
  <si>
    <t xml:space="preserve">Rải một khoản tiền lớn bất ngờ (thừa kế, tiền bảo hiểm)</t>
  </si>
  <si>
    <t xml:space="preserve">Mua bình quân giá xuống</t>
  </si>
  <si>
    <t xml:space="preserve">Đầu tư vào quỹ chỉ số</t>
  </si>
  <si>
    <t xml:space="preserve">Nguồn: “The confusion occurs where the term dollar cost averaging is incorrectly used to describe a different investment strategy... where the investor invests a windfall gain such as an insurance payout or inheritance” — và “this is actually a rare event for most investors”. Hai chiến lược khác nhau nên kết luận không áp dụng chung.</t>
  </si>
  <si>
    <t xml:space="preserve">https://en.wikipedia.org/wiki/Dollar_cost_averaging</t>
  </si>
  <si>
    <t xml:space="preserve">Số câu</t>
  </si>
  <si>
    <t xml:space="preserve">Tình trạng</t>
  </si>
  <si>
    <t xml:space="preserve">Đủ dùng</t>
  </si>
  <si>
    <t xml:space="preserve">Tư liệu mỏng, 1 câu</t>
  </si>
  <si>
    <t xml:space="preserve">tiet-kiem-muc-tieu</t>
  </si>
  <si>
    <t xml:space="preserve">Chưa tìm thấy nguồn — để trống</t>
  </si>
  <si>
    <t xml:space="preserve">Định giá — DCF</t>
  </si>
  <si>
    <t xml:space="preserve">URL</t>
  </si>
  <si>
    <t xml:space="preserve">Số câu dùng</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</si>
</sst>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B447E"/>
      <name val="Arial"/>
      <family val="0"/>
      <charset val="1"/>
    </font>
    <font>
      <sz val="10"/>
      <color rgb="FF828282"/>
      <name val="Arial"/>
      <family val="0"/>
      <charset val="1"/>
    </font>
    <font>
      <b val="true"/>
      <sz val="11"/>
      <name val="Arial"/>
      <family val="0"/>
      <charset val="1"/>
    </font>
    <font>
      <sz val="11"/>
      <name val="Arial"/>
      <family val="0"/>
      <charset val="1"/>
    </font>
    <font>
      <b val="true"/>
      <sz val="11"/>
      <color rgb="FFFFFFFF"/>
      <name val="Arial"/>
      <family val="0"/>
      <charset val="1"/>
    </font>
    <font>
      <sz val="10"/>
      <name val="Arial"/>
      <family val="0"/>
      <charset val="1"/>
    </font>
    <font>
      <b val="true"/>
      <sz val="10"/>
      <color rgb="FF1B447E"/>
      <name val="Arial"/>
      <family val="0"/>
      <charset val="1"/>
    </font>
  </fonts>
  <fills count="5">
    <fill>
      <patternFill patternType="none"/>
    </fill>
    <fill>
      <patternFill patternType="gray125"/>
    </fill>
    <fill>
      <patternFill patternType="solid">
        <fgColor rgb="FFFEF7E7"/>
        <bgColor rgb="FFF1F5F9"/>
      </patternFill>
    </fill>
    <fill>
      <patternFill patternType="solid">
        <fgColor rgb="FF1B447E"/>
        <bgColor rgb="FF003366"/>
      </patternFill>
    </fill>
    <fill>
      <patternFill patternType="solid">
        <fgColor rgb="FFF1F5F9"/>
        <bgColor rgb="FFFEF7E7"/>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28282"/>
      <rgbColor rgb="FF9999FF"/>
      <rgbColor rgb="FF993366"/>
      <rgbColor rgb="FFFEF7E7"/>
      <rgbColor rgb="FFF1F5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8F0"/>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B447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4" t="s">
        <v>3</v>
      </c>
    </row>
    <row r="6" customFormat="false" ht="39.55" hidden="false" customHeight="false" outlineLevel="0" collapsed="false">
      <c r="A6" s="3" t="s">
        <v>4</v>
      </c>
      <c r="B6" s="4" t="s">
        <v>5</v>
      </c>
    </row>
    <row r="8" customFormat="false" ht="26.85" hidden="false" customHeight="false" outlineLevel="0" collapsed="false">
      <c r="A8" s="3" t="s">
        <v>6</v>
      </c>
      <c r="B8" s="4" t="s">
        <v>7</v>
      </c>
    </row>
    <row r="10" customFormat="false" ht="15" hidden="false" customHeight="false" outlineLevel="0" collapsed="false">
      <c r="A10" s="3" t="s">
        <v>8</v>
      </c>
      <c r="B10" s="4"/>
    </row>
    <row r="11" customFormat="false" ht="15" hidden="false" customHeight="false" outlineLevel="0" collapsed="false">
      <c r="B11" s="5" t="s">
        <v>9</v>
      </c>
    </row>
    <row r="12" customFormat="false" ht="15" hidden="false" customHeight="false" outlineLevel="0" collapsed="false">
      <c r="B12" s="5" t="s">
        <v>10</v>
      </c>
    </row>
    <row r="13" customFormat="false" ht="15" hidden="false" customHeight="false" outlineLevel="0" collapsed="false">
      <c r="B13" s="5" t="s">
        <v>11</v>
      </c>
    </row>
    <row r="14" customFormat="false" ht="15" hidden="false" customHeight="false" outlineLevel="0" collapsed="false">
      <c r="B14" s="5" t="s">
        <v>12</v>
      </c>
    </row>
    <row r="15" customFormat="false" ht="15" hidden="false" customHeight="false" outlineLevel="0" collapsed="false">
      <c r="B15" s="5" t="s">
        <v>13</v>
      </c>
    </row>
    <row r="17" customFormat="false" ht="26.85" hidden="false" customHeight="false" outlineLevel="0" collapsed="false">
      <c r="A17" s="3" t="s">
        <v>14</v>
      </c>
      <c r="B17" s="4" t="s">
        <v>15</v>
      </c>
    </row>
    <row r="19" customFormat="false" ht="26.85" hidden="false" customHeight="false" outlineLevel="0" collapsed="false">
      <c r="A19" s="6" t="s">
        <v>16</v>
      </c>
      <c r="B19" s="7"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6"/>
    <col collapsed="false" customWidth="true" hidden="false" outlineLevel="0" max="4" min="4" style="0" width="10"/>
    <col collapsed="false" customWidth="true" hidden="false" outlineLevel="0" max="5" min="5" style="0" width="24"/>
    <col collapsed="false" customWidth="true" hidden="false" outlineLevel="0" max="6" min="6" style="0" width="58"/>
    <col collapsed="false" customWidth="true" hidden="false" outlineLevel="0" max="10" min="7" style="0" width="34"/>
    <col collapsed="false" customWidth="true" hidden="false" outlineLevel="0" max="11" min="11" style="0" width="9"/>
    <col collapsed="false" customWidth="true" hidden="false" outlineLevel="0" max="12" min="12" style="0" width="70"/>
    <col collapsed="false" customWidth="true" hidden="false" outlineLevel="0" max="13" min="13" style="0" width="26"/>
    <col collapsed="false" customWidth="true" hidden="false" outlineLevel="0" max="14" min="14" style="0" width="14"/>
    <col collapsed="false" customWidth="true" hidden="false" outlineLevel="0" max="15" min="15" style="0" width="12"/>
    <col collapsed="false" customWidth="true" hidden="false" outlineLevel="0" max="16" min="16" style="0" width="58"/>
  </cols>
  <sheetData>
    <row r="1" customFormat="false" ht="26.85" hidden="false" customHeight="false" outlineLevel="0" collapsed="false">
      <c r="A1" s="8" t="s">
        <v>18</v>
      </c>
      <c r="B1" s="8" t="s">
        <v>19</v>
      </c>
      <c r="C1" s="8" t="s">
        <v>20</v>
      </c>
      <c r="D1" s="8" t="s">
        <v>21</v>
      </c>
      <c r="E1" s="8" t="s">
        <v>22</v>
      </c>
      <c r="F1" s="8" t="s">
        <v>23</v>
      </c>
      <c r="G1" s="8" t="s">
        <v>24</v>
      </c>
      <c r="H1" s="8" t="s">
        <v>25</v>
      </c>
      <c r="I1" s="8" t="s">
        <v>26</v>
      </c>
      <c r="J1" s="8" t="s">
        <v>27</v>
      </c>
      <c r="K1" s="8" t="s">
        <v>28</v>
      </c>
      <c r="L1" s="8" t="s">
        <v>29</v>
      </c>
      <c r="M1" s="8" t="s">
        <v>4</v>
      </c>
      <c r="N1" s="8" t="s">
        <v>6</v>
      </c>
      <c r="O1" s="8" t="s">
        <v>30</v>
      </c>
      <c r="P1" s="8" t="s">
        <v>31</v>
      </c>
    </row>
    <row r="2" customFormat="false" ht="85.5" hidden="false" customHeight="true" outlineLevel="0" collapsed="false">
      <c r="A2" s="9" t="s">
        <v>32</v>
      </c>
      <c r="B2" s="9" t="s">
        <v>33</v>
      </c>
      <c r="C2" s="9" t="s">
        <v>34</v>
      </c>
      <c r="D2" s="9" t="s">
        <v>35</v>
      </c>
      <c r="E2" s="9" t="s">
        <v>36</v>
      </c>
      <c r="F2" s="9" t="s">
        <v>37</v>
      </c>
      <c r="G2" s="9" t="s">
        <v>38</v>
      </c>
      <c r="H2" s="9" t="s">
        <v>39</v>
      </c>
      <c r="I2" s="9" t="s">
        <v>40</v>
      </c>
      <c r="J2" s="9" t="s">
        <v>41</v>
      </c>
      <c r="K2" s="10" t="s">
        <v>26</v>
      </c>
      <c r="L2" s="9" t="s">
        <v>42</v>
      </c>
      <c r="M2" s="9" t="s">
        <v>43</v>
      </c>
      <c r="N2" s="9" t="s">
        <v>44</v>
      </c>
      <c r="O2" s="9" t="s">
        <v>45</v>
      </c>
      <c r="P2" s="9" t="s">
        <v>46</v>
      </c>
    </row>
    <row r="3" customFormat="false" ht="85.5" hidden="false" customHeight="true" outlineLevel="0" collapsed="false">
      <c r="A3" s="11" t="s">
        <v>47</v>
      </c>
      <c r="B3" s="11" t="s">
        <v>33</v>
      </c>
      <c r="C3" s="11" t="s">
        <v>34</v>
      </c>
      <c r="D3" s="11" t="s">
        <v>35</v>
      </c>
      <c r="E3" s="11" t="s">
        <v>36</v>
      </c>
      <c r="F3" s="11" t="s">
        <v>48</v>
      </c>
      <c r="G3" s="11" t="s">
        <v>49</v>
      </c>
      <c r="H3" s="11" t="s">
        <v>50</v>
      </c>
      <c r="I3" s="11" t="s">
        <v>51</v>
      </c>
      <c r="J3" s="11" t="s">
        <v>52</v>
      </c>
      <c r="K3" s="12" t="s">
        <v>25</v>
      </c>
      <c r="L3" s="11" t="s">
        <v>53</v>
      </c>
      <c r="M3" s="11" t="s">
        <v>43</v>
      </c>
      <c r="N3" s="11" t="s">
        <v>54</v>
      </c>
      <c r="O3" s="11" t="s">
        <v>45</v>
      </c>
      <c r="P3" s="11" t="s">
        <v>55</v>
      </c>
    </row>
    <row r="4" customFormat="false" ht="85.5" hidden="false" customHeight="true" outlineLevel="0" collapsed="false">
      <c r="A4" s="9" t="s">
        <v>56</v>
      </c>
      <c r="B4" s="9" t="s">
        <v>33</v>
      </c>
      <c r="C4" s="9" t="s">
        <v>34</v>
      </c>
      <c r="D4" s="9" t="s">
        <v>35</v>
      </c>
      <c r="E4" s="9" t="s">
        <v>57</v>
      </c>
      <c r="F4" s="9" t="s">
        <v>58</v>
      </c>
      <c r="G4" s="9" t="s">
        <v>59</v>
      </c>
      <c r="H4" s="9" t="s">
        <v>60</v>
      </c>
      <c r="I4" s="9" t="s">
        <v>61</v>
      </c>
      <c r="J4" s="9" t="s">
        <v>62</v>
      </c>
      <c r="K4" s="10" t="s">
        <v>26</v>
      </c>
      <c r="L4" s="9" t="s">
        <v>63</v>
      </c>
      <c r="M4" s="9" t="s">
        <v>43</v>
      </c>
      <c r="N4" s="9" t="s">
        <v>64</v>
      </c>
      <c r="O4" s="9" t="s">
        <v>45</v>
      </c>
      <c r="P4" s="9" t="s">
        <v>65</v>
      </c>
    </row>
    <row r="5" customFormat="false" ht="85.5" hidden="false" customHeight="true" outlineLevel="0" collapsed="false">
      <c r="A5" s="11" t="s">
        <v>66</v>
      </c>
      <c r="B5" s="11" t="s">
        <v>33</v>
      </c>
      <c r="C5" s="11" t="s">
        <v>34</v>
      </c>
      <c r="D5" s="11" t="s">
        <v>35</v>
      </c>
      <c r="E5" s="11" t="s">
        <v>57</v>
      </c>
      <c r="F5" s="11" t="s">
        <v>67</v>
      </c>
      <c r="G5" s="11" t="s">
        <v>68</v>
      </c>
      <c r="H5" s="11" t="s">
        <v>69</v>
      </c>
      <c r="I5" s="11" t="s">
        <v>70</v>
      </c>
      <c r="J5" s="11" t="s">
        <v>71</v>
      </c>
      <c r="K5" s="12" t="s">
        <v>24</v>
      </c>
      <c r="L5" s="11" t="s">
        <v>72</v>
      </c>
      <c r="M5" s="11" t="s">
        <v>43</v>
      </c>
      <c r="N5" s="11" t="s">
        <v>54</v>
      </c>
      <c r="O5" s="11" t="s">
        <v>73</v>
      </c>
      <c r="P5" s="11" t="s">
        <v>74</v>
      </c>
    </row>
    <row r="6" customFormat="false" ht="85.5" hidden="false" customHeight="true" outlineLevel="0" collapsed="false">
      <c r="A6" s="9" t="s">
        <v>75</v>
      </c>
      <c r="B6" s="9" t="s">
        <v>33</v>
      </c>
      <c r="C6" s="9" t="s">
        <v>34</v>
      </c>
      <c r="D6" s="9" t="s">
        <v>35</v>
      </c>
      <c r="E6" s="9" t="s">
        <v>57</v>
      </c>
      <c r="F6" s="9" t="s">
        <v>76</v>
      </c>
      <c r="G6" s="9" t="s">
        <v>77</v>
      </c>
      <c r="H6" s="9" t="s">
        <v>78</v>
      </c>
      <c r="I6" s="9" t="s">
        <v>79</v>
      </c>
      <c r="J6" s="9" t="s">
        <v>80</v>
      </c>
      <c r="K6" s="10" t="s">
        <v>25</v>
      </c>
      <c r="L6" s="9" t="s">
        <v>81</v>
      </c>
      <c r="M6" s="9" t="s">
        <v>43</v>
      </c>
      <c r="N6" s="9" t="s">
        <v>64</v>
      </c>
      <c r="O6" s="9" t="s">
        <v>45</v>
      </c>
      <c r="P6" s="9" t="s">
        <v>82</v>
      </c>
    </row>
    <row r="7" customFormat="false" ht="85.5" hidden="false" customHeight="true" outlineLevel="0" collapsed="false">
      <c r="A7" s="11" t="s">
        <v>83</v>
      </c>
      <c r="B7" s="11" t="s">
        <v>33</v>
      </c>
      <c r="C7" s="11" t="s">
        <v>84</v>
      </c>
      <c r="D7" s="11" t="s">
        <v>35</v>
      </c>
      <c r="E7" s="11" t="s">
        <v>36</v>
      </c>
      <c r="F7" s="11" t="s">
        <v>85</v>
      </c>
      <c r="G7" s="11" t="s">
        <v>86</v>
      </c>
      <c r="H7" s="11" t="s">
        <v>87</v>
      </c>
      <c r="I7" s="11" t="s">
        <v>88</v>
      </c>
      <c r="J7" s="11" t="s">
        <v>89</v>
      </c>
      <c r="K7" s="12" t="s">
        <v>25</v>
      </c>
      <c r="L7" s="11" t="s">
        <v>90</v>
      </c>
      <c r="M7" s="11" t="s">
        <v>43</v>
      </c>
      <c r="N7" s="11" t="s">
        <v>54</v>
      </c>
      <c r="O7" s="11" t="s">
        <v>45</v>
      </c>
      <c r="P7" s="11" t="s">
        <v>91</v>
      </c>
    </row>
    <row r="8" customFormat="false" ht="85.5" hidden="false" customHeight="true" outlineLevel="0" collapsed="false">
      <c r="A8" s="9" t="s">
        <v>92</v>
      </c>
      <c r="B8" s="9" t="s">
        <v>33</v>
      </c>
      <c r="C8" s="9" t="s">
        <v>84</v>
      </c>
      <c r="D8" s="9" t="s">
        <v>35</v>
      </c>
      <c r="E8" s="9" t="s">
        <v>57</v>
      </c>
      <c r="F8" s="9" t="s">
        <v>93</v>
      </c>
      <c r="G8" s="9" t="s">
        <v>94</v>
      </c>
      <c r="H8" s="9" t="s">
        <v>95</v>
      </c>
      <c r="I8" s="9" t="s">
        <v>96</v>
      </c>
      <c r="J8" s="9" t="s">
        <v>97</v>
      </c>
      <c r="K8" s="10" t="s">
        <v>25</v>
      </c>
      <c r="L8" s="9" t="s">
        <v>98</v>
      </c>
      <c r="M8" s="9" t="s">
        <v>43</v>
      </c>
      <c r="N8" s="9" t="s">
        <v>54</v>
      </c>
      <c r="O8" s="9" t="s">
        <v>73</v>
      </c>
      <c r="P8" s="9" t="s">
        <v>99</v>
      </c>
    </row>
    <row r="9" customFormat="false" ht="85.5" hidden="false" customHeight="true" outlineLevel="0" collapsed="false">
      <c r="A9" s="11" t="s">
        <v>100</v>
      </c>
      <c r="B9" s="11" t="s">
        <v>33</v>
      </c>
      <c r="C9" s="11" t="s">
        <v>84</v>
      </c>
      <c r="D9" s="11" t="s">
        <v>35</v>
      </c>
      <c r="E9" s="11" t="s">
        <v>57</v>
      </c>
      <c r="F9" s="11" t="s">
        <v>101</v>
      </c>
      <c r="G9" s="11" t="s">
        <v>102</v>
      </c>
      <c r="H9" s="11" t="s">
        <v>103</v>
      </c>
      <c r="I9" s="11" t="s">
        <v>104</v>
      </c>
      <c r="J9" s="11" t="s">
        <v>77</v>
      </c>
      <c r="K9" s="12" t="s">
        <v>25</v>
      </c>
      <c r="L9" s="11" t="s">
        <v>105</v>
      </c>
      <c r="M9" s="11" t="s">
        <v>43</v>
      </c>
      <c r="N9" s="11" t="s">
        <v>64</v>
      </c>
      <c r="O9" s="11" t="s">
        <v>45</v>
      </c>
      <c r="P9" s="11" t="s">
        <v>106</v>
      </c>
    </row>
    <row r="10" customFormat="false" ht="85.5" hidden="false" customHeight="true" outlineLevel="0" collapsed="false">
      <c r="A10" s="9" t="s">
        <v>107</v>
      </c>
      <c r="B10" s="9" t="s">
        <v>33</v>
      </c>
      <c r="C10" s="9" t="s">
        <v>108</v>
      </c>
      <c r="D10" s="9" t="s">
        <v>35</v>
      </c>
      <c r="E10" s="9" t="s">
        <v>36</v>
      </c>
      <c r="F10" s="9" t="s">
        <v>109</v>
      </c>
      <c r="G10" s="9" t="s">
        <v>110</v>
      </c>
      <c r="H10" s="9" t="s">
        <v>111</v>
      </c>
      <c r="I10" s="9" t="s">
        <v>112</v>
      </c>
      <c r="J10" s="9" t="s">
        <v>113</v>
      </c>
      <c r="K10" s="10" t="s">
        <v>25</v>
      </c>
      <c r="L10" s="9" t="s">
        <v>114</v>
      </c>
      <c r="M10" s="9" t="s">
        <v>43</v>
      </c>
      <c r="N10" s="9" t="s">
        <v>54</v>
      </c>
      <c r="O10" s="9" t="s">
        <v>73</v>
      </c>
      <c r="P10" s="9" t="s">
        <v>115</v>
      </c>
    </row>
    <row r="11" customFormat="false" ht="85.5" hidden="false" customHeight="true" outlineLevel="0" collapsed="false">
      <c r="A11" s="11" t="s">
        <v>116</v>
      </c>
      <c r="B11" s="11" t="s">
        <v>33</v>
      </c>
      <c r="C11" s="11" t="s">
        <v>117</v>
      </c>
      <c r="D11" s="11" t="s">
        <v>35</v>
      </c>
      <c r="E11" s="11" t="s">
        <v>118</v>
      </c>
      <c r="F11" s="11" t="s">
        <v>119</v>
      </c>
      <c r="G11" s="11" t="s">
        <v>120</v>
      </c>
      <c r="H11" s="11" t="s">
        <v>121</v>
      </c>
      <c r="I11" s="11" t="s">
        <v>122</v>
      </c>
      <c r="J11" s="11" t="s">
        <v>123</v>
      </c>
      <c r="K11" s="12" t="s">
        <v>25</v>
      </c>
      <c r="L11" s="11" t="s">
        <v>124</v>
      </c>
      <c r="M11" s="11" t="s">
        <v>43</v>
      </c>
      <c r="N11" s="11" t="s">
        <v>44</v>
      </c>
      <c r="O11" s="11" t="s">
        <v>73</v>
      </c>
      <c r="P11" s="11" t="s">
        <v>125</v>
      </c>
    </row>
    <row r="12" customFormat="false" ht="85.5" hidden="false" customHeight="true" outlineLevel="0" collapsed="false">
      <c r="A12" s="9" t="s">
        <v>126</v>
      </c>
      <c r="B12" s="9" t="s">
        <v>33</v>
      </c>
      <c r="C12" s="9" t="s">
        <v>117</v>
      </c>
      <c r="D12" s="9" t="s">
        <v>35</v>
      </c>
      <c r="E12" s="9" t="s">
        <v>118</v>
      </c>
      <c r="F12" s="9" t="s">
        <v>127</v>
      </c>
      <c r="G12" s="9" t="s">
        <v>128</v>
      </c>
      <c r="H12" s="9" t="s">
        <v>129</v>
      </c>
      <c r="I12" s="9" t="s">
        <v>130</v>
      </c>
      <c r="J12" s="9" t="s">
        <v>131</v>
      </c>
      <c r="K12" s="10" t="s">
        <v>26</v>
      </c>
      <c r="L12" s="9" t="s">
        <v>132</v>
      </c>
      <c r="M12" s="9" t="s">
        <v>43</v>
      </c>
      <c r="N12" s="9" t="s">
        <v>54</v>
      </c>
      <c r="O12" s="9" t="s">
        <v>73</v>
      </c>
      <c r="P12" s="9" t="s">
        <v>133</v>
      </c>
    </row>
    <row r="13" customFormat="false" ht="85.5" hidden="false" customHeight="true" outlineLevel="0" collapsed="false">
      <c r="A13" s="11" t="s">
        <v>134</v>
      </c>
      <c r="B13" s="11" t="s">
        <v>33</v>
      </c>
      <c r="C13" s="11" t="s">
        <v>135</v>
      </c>
      <c r="D13" s="11" t="s">
        <v>136</v>
      </c>
      <c r="E13" s="11" t="s">
        <v>36</v>
      </c>
      <c r="F13" s="11" t="s">
        <v>137</v>
      </c>
      <c r="G13" s="11" t="s">
        <v>138</v>
      </c>
      <c r="H13" s="11" t="s">
        <v>139</v>
      </c>
      <c r="I13" s="11" t="s">
        <v>140</v>
      </c>
      <c r="J13" s="11" t="s">
        <v>141</v>
      </c>
      <c r="K13" s="12" t="s">
        <v>25</v>
      </c>
      <c r="L13" s="11" t="s">
        <v>142</v>
      </c>
      <c r="M13" s="11" t="s">
        <v>43</v>
      </c>
      <c r="N13" s="11" t="s">
        <v>54</v>
      </c>
      <c r="O13" s="11" t="s">
        <v>73</v>
      </c>
      <c r="P13" s="11" t="s">
        <v>143</v>
      </c>
    </row>
    <row r="14" customFormat="false" ht="85.5" hidden="false" customHeight="true" outlineLevel="0" collapsed="false">
      <c r="A14" s="9" t="s">
        <v>144</v>
      </c>
      <c r="B14" s="9" t="s">
        <v>33</v>
      </c>
      <c r="C14" s="9" t="s">
        <v>135</v>
      </c>
      <c r="D14" s="9" t="s">
        <v>136</v>
      </c>
      <c r="E14" s="9" t="s">
        <v>57</v>
      </c>
      <c r="F14" s="9" t="s">
        <v>145</v>
      </c>
      <c r="G14" s="9" t="s">
        <v>146</v>
      </c>
      <c r="H14" s="9" t="s">
        <v>147</v>
      </c>
      <c r="I14" s="9" t="s">
        <v>148</v>
      </c>
      <c r="J14" s="9" t="s">
        <v>149</v>
      </c>
      <c r="K14" s="10" t="s">
        <v>24</v>
      </c>
      <c r="L14" s="9" t="s">
        <v>150</v>
      </c>
      <c r="M14" s="9" t="s">
        <v>43</v>
      </c>
      <c r="N14" s="9" t="s">
        <v>64</v>
      </c>
      <c r="O14" s="9" t="s">
        <v>45</v>
      </c>
      <c r="P14" s="9" t="s">
        <v>151</v>
      </c>
    </row>
    <row r="15" customFormat="false" ht="85.5" hidden="false" customHeight="true" outlineLevel="0" collapsed="false">
      <c r="A15" s="11" t="s">
        <v>152</v>
      </c>
      <c r="B15" s="11" t="s">
        <v>33</v>
      </c>
      <c r="C15" s="11" t="s">
        <v>153</v>
      </c>
      <c r="D15" s="11" t="s">
        <v>136</v>
      </c>
      <c r="E15" s="11" t="s">
        <v>57</v>
      </c>
      <c r="F15" s="11" t="s">
        <v>154</v>
      </c>
      <c r="G15" s="11" t="s">
        <v>155</v>
      </c>
      <c r="H15" s="11" t="s">
        <v>156</v>
      </c>
      <c r="I15" s="11" t="s">
        <v>157</v>
      </c>
      <c r="J15" s="11" t="s">
        <v>158</v>
      </c>
      <c r="K15" s="12" t="s">
        <v>25</v>
      </c>
      <c r="L15" s="11" t="s">
        <v>159</v>
      </c>
      <c r="M15" s="11" t="s">
        <v>43</v>
      </c>
      <c r="N15" s="11" t="s">
        <v>54</v>
      </c>
      <c r="O15" s="11" t="s">
        <v>73</v>
      </c>
      <c r="P15" s="11" t="s">
        <v>160</v>
      </c>
    </row>
    <row r="16" customFormat="false" ht="85.5" hidden="false" customHeight="true" outlineLevel="0" collapsed="false">
      <c r="A16" s="9" t="s">
        <v>161</v>
      </c>
      <c r="B16" s="9" t="s">
        <v>33</v>
      </c>
      <c r="C16" s="9" t="s">
        <v>162</v>
      </c>
      <c r="D16" s="9" t="s">
        <v>136</v>
      </c>
      <c r="E16" s="9" t="s">
        <v>36</v>
      </c>
      <c r="F16" s="9" t="s">
        <v>163</v>
      </c>
      <c r="G16" s="9" t="s">
        <v>164</v>
      </c>
      <c r="H16" s="9" t="s">
        <v>165</v>
      </c>
      <c r="I16" s="9" t="s">
        <v>166</v>
      </c>
      <c r="J16" s="9" t="s">
        <v>167</v>
      </c>
      <c r="K16" s="10" t="s">
        <v>25</v>
      </c>
      <c r="L16" s="9" t="s">
        <v>168</v>
      </c>
      <c r="M16" s="9" t="s">
        <v>43</v>
      </c>
      <c r="N16" s="9" t="s">
        <v>54</v>
      </c>
      <c r="O16" s="9" t="s">
        <v>73</v>
      </c>
      <c r="P16" s="9" t="s">
        <v>169</v>
      </c>
    </row>
    <row r="17" customFormat="false" ht="85.5" hidden="false" customHeight="true" outlineLevel="0" collapsed="false">
      <c r="A17" s="11" t="s">
        <v>170</v>
      </c>
      <c r="B17" s="11" t="s">
        <v>33</v>
      </c>
      <c r="C17" s="11" t="s">
        <v>162</v>
      </c>
      <c r="D17" s="11" t="s">
        <v>136</v>
      </c>
      <c r="E17" s="11" t="s">
        <v>118</v>
      </c>
      <c r="F17" s="11" t="s">
        <v>171</v>
      </c>
      <c r="G17" s="11" t="s">
        <v>172</v>
      </c>
      <c r="H17" s="11" t="s">
        <v>173</v>
      </c>
      <c r="I17" s="11" t="s">
        <v>174</v>
      </c>
      <c r="J17" s="11" t="s">
        <v>175</v>
      </c>
      <c r="K17" s="12" t="s">
        <v>25</v>
      </c>
      <c r="L17" s="11" t="s">
        <v>176</v>
      </c>
      <c r="M17" s="11" t="s">
        <v>43</v>
      </c>
      <c r="N17" s="11" t="s">
        <v>64</v>
      </c>
      <c r="O17" s="11" t="s">
        <v>45</v>
      </c>
      <c r="P17" s="11" t="s">
        <v>177</v>
      </c>
    </row>
    <row r="18" customFormat="false" ht="85.5" hidden="false" customHeight="true" outlineLevel="0" collapsed="false">
      <c r="A18" s="9" t="s">
        <v>178</v>
      </c>
      <c r="B18" s="9" t="s">
        <v>33</v>
      </c>
      <c r="C18" s="9" t="s">
        <v>179</v>
      </c>
      <c r="D18" s="9" t="s">
        <v>35</v>
      </c>
      <c r="E18" s="9" t="s">
        <v>36</v>
      </c>
      <c r="F18" s="9" t="s">
        <v>180</v>
      </c>
      <c r="G18" s="9" t="s">
        <v>181</v>
      </c>
      <c r="H18" s="9" t="s">
        <v>182</v>
      </c>
      <c r="I18" s="9" t="s">
        <v>183</v>
      </c>
      <c r="J18" s="9" t="s">
        <v>184</v>
      </c>
      <c r="K18" s="10" t="s">
        <v>26</v>
      </c>
      <c r="L18" s="9" t="s">
        <v>185</v>
      </c>
      <c r="M18" s="9" t="s">
        <v>43</v>
      </c>
      <c r="N18" s="9" t="s">
        <v>54</v>
      </c>
      <c r="O18" s="9" t="s">
        <v>45</v>
      </c>
      <c r="P18" s="9" t="s">
        <v>186</v>
      </c>
    </row>
    <row r="19" customFormat="false" ht="85.5" hidden="false" customHeight="true" outlineLevel="0" collapsed="false">
      <c r="A19" s="11" t="s">
        <v>187</v>
      </c>
      <c r="B19" s="11" t="s">
        <v>33</v>
      </c>
      <c r="C19" s="11" t="s">
        <v>179</v>
      </c>
      <c r="D19" s="11" t="s">
        <v>35</v>
      </c>
      <c r="E19" s="11" t="s">
        <v>188</v>
      </c>
      <c r="F19" s="11" t="s">
        <v>189</v>
      </c>
      <c r="G19" s="11" t="s">
        <v>190</v>
      </c>
      <c r="H19" s="11" t="s">
        <v>191</v>
      </c>
      <c r="I19" s="11" t="s">
        <v>192</v>
      </c>
      <c r="J19" s="11" t="s">
        <v>193</v>
      </c>
      <c r="K19" s="12" t="s">
        <v>25</v>
      </c>
      <c r="L19" s="11" t="s">
        <v>194</v>
      </c>
      <c r="M19" s="11" t="s">
        <v>43</v>
      </c>
      <c r="N19" s="11" t="s">
        <v>54</v>
      </c>
      <c r="O19" s="11" t="s">
        <v>45</v>
      </c>
      <c r="P19" s="11" t="s">
        <v>186</v>
      </c>
    </row>
    <row r="20" customFormat="false" ht="85.5" hidden="false" customHeight="true" outlineLevel="0" collapsed="false">
      <c r="A20" s="9" t="s">
        <v>195</v>
      </c>
      <c r="B20" s="9" t="s">
        <v>33</v>
      </c>
      <c r="C20" s="9" t="s">
        <v>196</v>
      </c>
      <c r="D20" s="9" t="s">
        <v>136</v>
      </c>
      <c r="E20" s="9" t="s">
        <v>57</v>
      </c>
      <c r="F20" s="9" t="s">
        <v>197</v>
      </c>
      <c r="G20" s="9" t="s">
        <v>198</v>
      </c>
      <c r="H20" s="9" t="s">
        <v>199</v>
      </c>
      <c r="I20" s="9" t="s">
        <v>200</v>
      </c>
      <c r="J20" s="9" t="s">
        <v>201</v>
      </c>
      <c r="K20" s="10" t="s">
        <v>24</v>
      </c>
      <c r="L20" s="9" t="s">
        <v>202</v>
      </c>
      <c r="M20" s="9" t="s">
        <v>43</v>
      </c>
      <c r="N20" s="9" t="s">
        <v>54</v>
      </c>
      <c r="O20" s="9" t="s">
        <v>73</v>
      </c>
      <c r="P20" s="9" t="s">
        <v>203</v>
      </c>
    </row>
    <row r="21" customFormat="false" ht="85.5" hidden="false" customHeight="true" outlineLevel="0" collapsed="false">
      <c r="A21" s="11" t="s">
        <v>204</v>
      </c>
      <c r="B21" s="11" t="s">
        <v>33</v>
      </c>
      <c r="C21" s="11" t="s">
        <v>205</v>
      </c>
      <c r="D21" s="11" t="s">
        <v>136</v>
      </c>
      <c r="E21" s="11" t="s">
        <v>188</v>
      </c>
      <c r="F21" s="11" t="s">
        <v>206</v>
      </c>
      <c r="G21" s="11" t="s">
        <v>207</v>
      </c>
      <c r="H21" s="11" t="s">
        <v>208</v>
      </c>
      <c r="I21" s="11" t="s">
        <v>209</v>
      </c>
      <c r="J21" s="11" t="s">
        <v>210</v>
      </c>
      <c r="K21" s="12" t="s">
        <v>25</v>
      </c>
      <c r="L21" s="11" t="s">
        <v>211</v>
      </c>
      <c r="M21" s="11" t="s">
        <v>43</v>
      </c>
      <c r="N21" s="11" t="s">
        <v>54</v>
      </c>
      <c r="O21" s="11" t="s">
        <v>73</v>
      </c>
      <c r="P21" s="11" t="s">
        <v>212</v>
      </c>
    </row>
    <row r="22" customFormat="false" ht="85.5" hidden="false" customHeight="true" outlineLevel="0" collapsed="false">
      <c r="A22" s="9" t="s">
        <v>213</v>
      </c>
      <c r="B22" s="9" t="s">
        <v>33</v>
      </c>
      <c r="C22" s="9" t="s">
        <v>214</v>
      </c>
      <c r="D22" s="9" t="s">
        <v>35</v>
      </c>
      <c r="E22" s="9" t="s">
        <v>36</v>
      </c>
      <c r="F22" s="9" t="s">
        <v>215</v>
      </c>
      <c r="G22" s="9" t="s">
        <v>216</v>
      </c>
      <c r="H22" s="9" t="s">
        <v>217</v>
      </c>
      <c r="I22" s="9" t="s">
        <v>218</v>
      </c>
      <c r="J22" s="9" t="s">
        <v>219</v>
      </c>
      <c r="K22" s="10" t="s">
        <v>25</v>
      </c>
      <c r="L22" s="9" t="s">
        <v>220</v>
      </c>
      <c r="M22" s="9" t="s">
        <v>43</v>
      </c>
      <c r="N22" s="9" t="s">
        <v>54</v>
      </c>
      <c r="O22" s="9" t="s">
        <v>45</v>
      </c>
      <c r="P22" s="9" t="s">
        <v>221</v>
      </c>
    </row>
    <row r="23" customFormat="false" ht="85.5" hidden="false" customHeight="true" outlineLevel="0" collapsed="false">
      <c r="A23" s="11" t="s">
        <v>222</v>
      </c>
      <c r="B23" s="11" t="s">
        <v>33</v>
      </c>
      <c r="C23" s="11" t="s">
        <v>223</v>
      </c>
      <c r="D23" s="11" t="s">
        <v>35</v>
      </c>
      <c r="E23" s="11" t="s">
        <v>36</v>
      </c>
      <c r="F23" s="11" t="s">
        <v>224</v>
      </c>
      <c r="G23" s="11" t="s">
        <v>225</v>
      </c>
      <c r="H23" s="11" t="s">
        <v>226</v>
      </c>
      <c r="I23" s="11" t="s">
        <v>227</v>
      </c>
      <c r="J23" s="11" t="s">
        <v>228</v>
      </c>
      <c r="K23" s="12" t="s">
        <v>25</v>
      </c>
      <c r="L23" s="11" t="s">
        <v>229</v>
      </c>
      <c r="M23" s="11" t="s">
        <v>43</v>
      </c>
      <c r="N23" s="11" t="s">
        <v>44</v>
      </c>
      <c r="O23" s="11" t="s">
        <v>45</v>
      </c>
      <c r="P23" s="11" t="s">
        <v>230</v>
      </c>
    </row>
    <row r="24" customFormat="false" ht="85.5" hidden="false" customHeight="true" outlineLevel="0" collapsed="false">
      <c r="A24" s="9" t="s">
        <v>231</v>
      </c>
      <c r="B24" s="9" t="s">
        <v>33</v>
      </c>
      <c r="C24" s="9" t="s">
        <v>223</v>
      </c>
      <c r="D24" s="9" t="s">
        <v>35</v>
      </c>
      <c r="E24" s="9" t="s">
        <v>57</v>
      </c>
      <c r="F24" s="9" t="s">
        <v>232</v>
      </c>
      <c r="G24" s="9" t="s">
        <v>233</v>
      </c>
      <c r="H24" s="9" t="s">
        <v>234</v>
      </c>
      <c r="I24" s="9" t="s">
        <v>235</v>
      </c>
      <c r="J24" s="9" t="s">
        <v>236</v>
      </c>
      <c r="K24" s="10" t="s">
        <v>25</v>
      </c>
      <c r="L24" s="9" t="s">
        <v>237</v>
      </c>
      <c r="M24" s="9" t="s">
        <v>43</v>
      </c>
      <c r="N24" s="9" t="s">
        <v>54</v>
      </c>
      <c r="O24" s="9" t="s">
        <v>45</v>
      </c>
      <c r="P24" s="9" t="s">
        <v>238</v>
      </c>
    </row>
    <row r="25" customFormat="false" ht="85.5" hidden="false" customHeight="true" outlineLevel="0" collapsed="false">
      <c r="A25" s="11" t="s">
        <v>239</v>
      </c>
      <c r="B25" s="11" t="s">
        <v>240</v>
      </c>
      <c r="C25" s="11" t="s">
        <v>241</v>
      </c>
      <c r="D25" s="11" t="s">
        <v>136</v>
      </c>
      <c r="E25" s="11" t="s">
        <v>57</v>
      </c>
      <c r="F25" s="11" t="s">
        <v>242</v>
      </c>
      <c r="G25" s="11" t="s">
        <v>243</v>
      </c>
      <c r="H25" s="11" t="s">
        <v>244</v>
      </c>
      <c r="I25" s="11" t="s">
        <v>245</v>
      </c>
      <c r="J25" s="11" t="s">
        <v>246</v>
      </c>
      <c r="K25" s="12" t="s">
        <v>25</v>
      </c>
      <c r="L25" s="11" t="s">
        <v>247</v>
      </c>
      <c r="M25" s="11" t="s">
        <v>43</v>
      </c>
      <c r="N25" s="11" t="s">
        <v>54</v>
      </c>
      <c r="O25" s="11" t="s">
        <v>73</v>
      </c>
      <c r="P25" s="11" t="s">
        <v>248</v>
      </c>
    </row>
    <row r="26" customFormat="false" ht="85.5" hidden="false" customHeight="true" outlineLevel="0" collapsed="false">
      <c r="A26" s="9" t="s">
        <v>249</v>
      </c>
      <c r="B26" s="9" t="s">
        <v>240</v>
      </c>
      <c r="C26" s="9" t="s">
        <v>241</v>
      </c>
      <c r="D26" s="9" t="s">
        <v>136</v>
      </c>
      <c r="E26" s="9" t="s">
        <v>118</v>
      </c>
      <c r="F26" s="9" t="s">
        <v>250</v>
      </c>
      <c r="G26" s="9" t="s">
        <v>251</v>
      </c>
      <c r="H26" s="9" t="s">
        <v>252</v>
      </c>
      <c r="I26" s="9" t="s">
        <v>253</v>
      </c>
      <c r="J26" s="9" t="s">
        <v>254</v>
      </c>
      <c r="K26" s="10" t="s">
        <v>25</v>
      </c>
      <c r="L26" s="9" t="s">
        <v>255</v>
      </c>
      <c r="M26" s="9" t="s">
        <v>43</v>
      </c>
      <c r="N26" s="9" t="s">
        <v>54</v>
      </c>
      <c r="O26" s="9" t="s">
        <v>73</v>
      </c>
      <c r="P26" s="9" t="s">
        <v>256</v>
      </c>
    </row>
    <row r="27" customFormat="false" ht="85.5" hidden="false" customHeight="true" outlineLevel="0" collapsed="false">
      <c r="A27" s="11" t="s">
        <v>257</v>
      </c>
      <c r="B27" s="11" t="s">
        <v>240</v>
      </c>
      <c r="C27" s="11" t="s">
        <v>241</v>
      </c>
      <c r="D27" s="11" t="s">
        <v>136</v>
      </c>
      <c r="E27" s="11" t="s">
        <v>118</v>
      </c>
      <c r="F27" s="11" t="s">
        <v>258</v>
      </c>
      <c r="G27" s="11" t="s">
        <v>259</v>
      </c>
      <c r="H27" s="11" t="s">
        <v>260</v>
      </c>
      <c r="I27" s="11" t="s">
        <v>261</v>
      </c>
      <c r="J27" s="11" t="s">
        <v>262</v>
      </c>
      <c r="K27" s="12" t="s">
        <v>25</v>
      </c>
      <c r="L27" s="11" t="s">
        <v>263</v>
      </c>
      <c r="M27" s="11" t="s">
        <v>43</v>
      </c>
      <c r="N27" s="11" t="s">
        <v>54</v>
      </c>
      <c r="O27" s="11" t="s">
        <v>73</v>
      </c>
      <c r="P27" s="11" t="s">
        <v>256</v>
      </c>
    </row>
    <row r="28" customFormat="false" ht="85.5" hidden="false" customHeight="true" outlineLevel="0" collapsed="false">
      <c r="A28" s="9" t="s">
        <v>264</v>
      </c>
      <c r="B28" s="9" t="s">
        <v>240</v>
      </c>
      <c r="C28" s="9" t="s">
        <v>265</v>
      </c>
      <c r="D28" s="9" t="s">
        <v>136</v>
      </c>
      <c r="E28" s="9" t="s">
        <v>57</v>
      </c>
      <c r="F28" s="9" t="s">
        <v>266</v>
      </c>
      <c r="G28" s="9" t="s">
        <v>267</v>
      </c>
      <c r="H28" s="9" t="s">
        <v>268</v>
      </c>
      <c r="I28" s="9" t="s">
        <v>269</v>
      </c>
      <c r="J28" s="9" t="s">
        <v>270</v>
      </c>
      <c r="K28" s="10" t="s">
        <v>25</v>
      </c>
      <c r="L28" s="9" t="s">
        <v>271</v>
      </c>
      <c r="M28" s="9" t="s">
        <v>43</v>
      </c>
      <c r="N28" s="9" t="s">
        <v>64</v>
      </c>
      <c r="O28" s="9" t="s">
        <v>73</v>
      </c>
      <c r="P28" s="9" t="s">
        <v>272</v>
      </c>
    </row>
    <row r="29" customFormat="false" ht="85.5" hidden="false" customHeight="true" outlineLevel="0" collapsed="false">
      <c r="A29" s="11" t="s">
        <v>273</v>
      </c>
      <c r="B29" s="11" t="s">
        <v>240</v>
      </c>
      <c r="C29" s="11" t="s">
        <v>265</v>
      </c>
      <c r="D29" s="11" t="s">
        <v>136</v>
      </c>
      <c r="E29" s="11" t="s">
        <v>57</v>
      </c>
      <c r="F29" s="11" t="s">
        <v>274</v>
      </c>
      <c r="G29" s="11" t="s">
        <v>275</v>
      </c>
      <c r="H29" s="11" t="s">
        <v>276</v>
      </c>
      <c r="I29" s="11" t="s">
        <v>277</v>
      </c>
      <c r="J29" s="11" t="s">
        <v>278</v>
      </c>
      <c r="K29" s="12" t="s">
        <v>25</v>
      </c>
      <c r="L29" s="11" t="s">
        <v>279</v>
      </c>
      <c r="M29" s="11" t="s">
        <v>43</v>
      </c>
      <c r="N29" s="11" t="s">
        <v>54</v>
      </c>
      <c r="O29" s="11" t="s">
        <v>45</v>
      </c>
      <c r="P29" s="11" t="s">
        <v>280</v>
      </c>
    </row>
    <row r="30" customFormat="false" ht="85.5" hidden="false" customHeight="true" outlineLevel="0" collapsed="false">
      <c r="A30" s="9" t="s">
        <v>281</v>
      </c>
      <c r="B30" s="9" t="s">
        <v>240</v>
      </c>
      <c r="C30" s="9" t="s">
        <v>282</v>
      </c>
      <c r="D30" s="9" t="s">
        <v>136</v>
      </c>
      <c r="E30" s="9" t="s">
        <v>118</v>
      </c>
      <c r="F30" s="9" t="s">
        <v>283</v>
      </c>
      <c r="G30" s="9" t="s">
        <v>284</v>
      </c>
      <c r="H30" s="9" t="s">
        <v>285</v>
      </c>
      <c r="I30" s="9" t="s">
        <v>286</v>
      </c>
      <c r="J30" s="9" t="s">
        <v>287</v>
      </c>
      <c r="K30" s="10" t="s">
        <v>25</v>
      </c>
      <c r="L30" s="9" t="s">
        <v>288</v>
      </c>
      <c r="M30" s="9" t="s">
        <v>43</v>
      </c>
      <c r="N30" s="9" t="s">
        <v>44</v>
      </c>
      <c r="O30" s="9" t="s">
        <v>45</v>
      </c>
      <c r="P30" s="9" t="s">
        <v>289</v>
      </c>
    </row>
    <row r="31" customFormat="false" ht="85.5" hidden="false" customHeight="true" outlineLevel="0" collapsed="false">
      <c r="A31" s="11" t="s">
        <v>290</v>
      </c>
      <c r="B31" s="11" t="s">
        <v>240</v>
      </c>
      <c r="C31" s="11" t="s">
        <v>282</v>
      </c>
      <c r="D31" s="11" t="s">
        <v>136</v>
      </c>
      <c r="E31" s="11" t="s">
        <v>57</v>
      </c>
      <c r="F31" s="11" t="s">
        <v>291</v>
      </c>
      <c r="G31" s="11" t="s">
        <v>292</v>
      </c>
      <c r="H31" s="11" t="s">
        <v>293</v>
      </c>
      <c r="I31" s="11" t="s">
        <v>294</v>
      </c>
      <c r="J31" s="11" t="s">
        <v>295</v>
      </c>
      <c r="K31" s="12" t="s">
        <v>25</v>
      </c>
      <c r="L31" s="11" t="s">
        <v>296</v>
      </c>
      <c r="M31" s="11" t="s">
        <v>43</v>
      </c>
      <c r="N31" s="11" t="s">
        <v>54</v>
      </c>
      <c r="O31" s="11" t="s">
        <v>45</v>
      </c>
      <c r="P31" s="11" t="s">
        <v>297</v>
      </c>
    </row>
    <row r="32" customFormat="false" ht="85.5" hidden="false" customHeight="true" outlineLevel="0" collapsed="false">
      <c r="A32" s="9" t="s">
        <v>298</v>
      </c>
      <c r="B32" s="9" t="s">
        <v>240</v>
      </c>
      <c r="C32" s="9" t="s">
        <v>282</v>
      </c>
      <c r="D32" s="9" t="s">
        <v>136</v>
      </c>
      <c r="E32" s="9" t="s">
        <v>36</v>
      </c>
      <c r="F32" s="9" t="s">
        <v>299</v>
      </c>
      <c r="G32" s="9" t="s">
        <v>300</v>
      </c>
      <c r="H32" s="9" t="s">
        <v>301</v>
      </c>
      <c r="I32" s="9" t="s">
        <v>302</v>
      </c>
      <c r="J32" s="9" t="s">
        <v>303</v>
      </c>
      <c r="K32" s="10" t="s">
        <v>25</v>
      </c>
      <c r="L32" s="9" t="s">
        <v>304</v>
      </c>
      <c r="M32" s="9" t="s">
        <v>43</v>
      </c>
      <c r="N32" s="9" t="s">
        <v>54</v>
      </c>
      <c r="O32" s="9" t="s">
        <v>73</v>
      </c>
      <c r="P32" s="9" t="s">
        <v>305</v>
      </c>
    </row>
    <row r="33" customFormat="false" ht="85.5" hidden="false" customHeight="true" outlineLevel="0" collapsed="false">
      <c r="A33" s="11" t="s">
        <v>306</v>
      </c>
      <c r="B33" s="11" t="s">
        <v>240</v>
      </c>
      <c r="C33" s="11" t="s">
        <v>307</v>
      </c>
      <c r="D33" s="11" t="s">
        <v>136</v>
      </c>
      <c r="E33" s="11" t="s">
        <v>57</v>
      </c>
      <c r="F33" s="11" t="s">
        <v>308</v>
      </c>
      <c r="G33" s="11" t="s">
        <v>309</v>
      </c>
      <c r="H33" s="11" t="s">
        <v>310</v>
      </c>
      <c r="I33" s="11" t="s">
        <v>311</v>
      </c>
      <c r="J33" s="11" t="s">
        <v>312</v>
      </c>
      <c r="K33" s="12" t="s">
        <v>25</v>
      </c>
      <c r="L33" s="11" t="s">
        <v>313</v>
      </c>
      <c r="M33" s="11" t="s">
        <v>43</v>
      </c>
      <c r="N33" s="11" t="s">
        <v>54</v>
      </c>
      <c r="O33" s="11" t="s">
        <v>73</v>
      </c>
      <c r="P33" s="11" t="s">
        <v>314</v>
      </c>
    </row>
    <row r="34" customFormat="false" ht="85.5" hidden="false" customHeight="true" outlineLevel="0" collapsed="false">
      <c r="A34" s="9" t="s">
        <v>315</v>
      </c>
      <c r="B34" s="9" t="s">
        <v>240</v>
      </c>
      <c r="C34" s="9" t="s">
        <v>307</v>
      </c>
      <c r="D34" s="9" t="s">
        <v>136</v>
      </c>
      <c r="E34" s="9" t="s">
        <v>188</v>
      </c>
      <c r="F34" s="9" t="s">
        <v>316</v>
      </c>
      <c r="G34" s="9" t="s">
        <v>317</v>
      </c>
      <c r="H34" s="9" t="s">
        <v>318</v>
      </c>
      <c r="I34" s="9" t="s">
        <v>319</v>
      </c>
      <c r="J34" s="9" t="s">
        <v>320</v>
      </c>
      <c r="K34" s="10" t="s">
        <v>25</v>
      </c>
      <c r="L34" s="9" t="s">
        <v>321</v>
      </c>
      <c r="M34" s="9" t="s">
        <v>43</v>
      </c>
      <c r="N34" s="9" t="s">
        <v>54</v>
      </c>
      <c r="O34" s="9" t="s">
        <v>73</v>
      </c>
      <c r="P34" s="9" t="s">
        <v>314</v>
      </c>
    </row>
    <row r="35" customFormat="false" ht="85.5" hidden="false" customHeight="true" outlineLevel="0" collapsed="false">
      <c r="A35" s="11" t="s">
        <v>322</v>
      </c>
      <c r="B35" s="11" t="s">
        <v>240</v>
      </c>
      <c r="C35" s="11" t="s">
        <v>307</v>
      </c>
      <c r="D35" s="11" t="s">
        <v>136</v>
      </c>
      <c r="E35" s="11" t="s">
        <v>118</v>
      </c>
      <c r="F35" s="11" t="s">
        <v>323</v>
      </c>
      <c r="G35" s="11" t="s">
        <v>324</v>
      </c>
      <c r="H35" s="11" t="s">
        <v>325</v>
      </c>
      <c r="I35" s="11" t="s">
        <v>326</v>
      </c>
      <c r="J35" s="11" t="s">
        <v>327</v>
      </c>
      <c r="K35" s="12" t="s">
        <v>25</v>
      </c>
      <c r="L35" s="11" t="s">
        <v>328</v>
      </c>
      <c r="M35" s="11" t="s">
        <v>43</v>
      </c>
      <c r="N35" s="11" t="s">
        <v>54</v>
      </c>
      <c r="O35" s="11" t="s">
        <v>73</v>
      </c>
      <c r="P35" s="11" t="s">
        <v>329</v>
      </c>
    </row>
    <row r="36" customFormat="false" ht="85.5" hidden="false" customHeight="true" outlineLevel="0" collapsed="false">
      <c r="A36" s="9" t="s">
        <v>330</v>
      </c>
      <c r="B36" s="9" t="s">
        <v>240</v>
      </c>
      <c r="C36" s="9" t="s">
        <v>331</v>
      </c>
      <c r="D36" s="9" t="s">
        <v>136</v>
      </c>
      <c r="E36" s="9" t="s">
        <v>118</v>
      </c>
      <c r="F36" s="9" t="s">
        <v>332</v>
      </c>
      <c r="G36" s="9" t="s">
        <v>333</v>
      </c>
      <c r="H36" s="9" t="s">
        <v>334</v>
      </c>
      <c r="I36" s="9" t="s">
        <v>335</v>
      </c>
      <c r="J36" s="9" t="s">
        <v>336</v>
      </c>
      <c r="K36" s="10" t="s">
        <v>25</v>
      </c>
      <c r="L36" s="9" t="s">
        <v>337</v>
      </c>
      <c r="M36" s="9" t="s">
        <v>43</v>
      </c>
      <c r="N36" s="9" t="s">
        <v>54</v>
      </c>
      <c r="O36" s="9" t="s">
        <v>45</v>
      </c>
      <c r="P36" s="9" t="s">
        <v>338</v>
      </c>
    </row>
    <row r="37" customFormat="false" ht="85.5" hidden="false" customHeight="true" outlineLevel="0" collapsed="false">
      <c r="A37" s="11" t="s">
        <v>339</v>
      </c>
      <c r="B37" s="11" t="s">
        <v>240</v>
      </c>
      <c r="C37" s="11" t="s">
        <v>331</v>
      </c>
      <c r="D37" s="11" t="s">
        <v>136</v>
      </c>
      <c r="E37" s="11" t="s">
        <v>118</v>
      </c>
      <c r="F37" s="11" t="s">
        <v>340</v>
      </c>
      <c r="G37" s="11" t="s">
        <v>341</v>
      </c>
      <c r="H37" s="11" t="s">
        <v>342</v>
      </c>
      <c r="I37" s="11" t="s">
        <v>343</v>
      </c>
      <c r="J37" s="11" t="s">
        <v>344</v>
      </c>
      <c r="K37" s="12" t="s">
        <v>25</v>
      </c>
      <c r="L37" s="11" t="s">
        <v>345</v>
      </c>
      <c r="M37" s="11" t="s">
        <v>43</v>
      </c>
      <c r="N37" s="11" t="s">
        <v>54</v>
      </c>
      <c r="O37" s="11" t="s">
        <v>73</v>
      </c>
      <c r="P37" s="11" t="s">
        <v>346</v>
      </c>
    </row>
    <row r="38" customFormat="false" ht="85.5" hidden="false" customHeight="true" outlineLevel="0" collapsed="false">
      <c r="A38" s="9" t="s">
        <v>347</v>
      </c>
      <c r="B38" s="9" t="s">
        <v>240</v>
      </c>
      <c r="C38" s="9" t="s">
        <v>348</v>
      </c>
      <c r="D38" s="9" t="s">
        <v>136</v>
      </c>
      <c r="E38" s="9" t="s">
        <v>36</v>
      </c>
      <c r="F38" s="9" t="s">
        <v>349</v>
      </c>
      <c r="G38" s="9" t="s">
        <v>350</v>
      </c>
      <c r="H38" s="9" t="s">
        <v>351</v>
      </c>
      <c r="I38" s="9" t="s">
        <v>352</v>
      </c>
      <c r="J38" s="9" t="s">
        <v>353</v>
      </c>
      <c r="K38" s="10" t="s">
        <v>25</v>
      </c>
      <c r="L38" s="9" t="s">
        <v>354</v>
      </c>
      <c r="M38" s="9" t="s">
        <v>43</v>
      </c>
      <c r="N38" s="9" t="s">
        <v>54</v>
      </c>
      <c r="O38" s="9" t="s">
        <v>73</v>
      </c>
      <c r="P38" s="9" t="s">
        <v>346</v>
      </c>
    </row>
    <row r="39" customFormat="false" ht="85.5" hidden="false" customHeight="true" outlineLevel="0" collapsed="false">
      <c r="A39" s="11" t="s">
        <v>355</v>
      </c>
      <c r="B39" s="11" t="s">
        <v>240</v>
      </c>
      <c r="C39" s="11" t="s">
        <v>348</v>
      </c>
      <c r="D39" s="11" t="s">
        <v>136</v>
      </c>
      <c r="E39" s="11" t="s">
        <v>118</v>
      </c>
      <c r="F39" s="11" t="s">
        <v>356</v>
      </c>
      <c r="G39" s="11" t="s">
        <v>357</v>
      </c>
      <c r="H39" s="11" t="s">
        <v>358</v>
      </c>
      <c r="I39" s="11" t="s">
        <v>359</v>
      </c>
      <c r="J39" s="11" t="s">
        <v>360</v>
      </c>
      <c r="K39" s="12" t="s">
        <v>24</v>
      </c>
      <c r="L39" s="11" t="s">
        <v>361</v>
      </c>
      <c r="M39" s="11" t="s">
        <v>43</v>
      </c>
      <c r="N39" s="11" t="s">
        <v>54</v>
      </c>
      <c r="O39" s="11" t="s">
        <v>45</v>
      </c>
      <c r="P39" s="11" t="s">
        <v>362</v>
      </c>
    </row>
    <row r="40" customFormat="false" ht="85.5" hidden="false" customHeight="true" outlineLevel="0" collapsed="false">
      <c r="A40" s="9" t="s">
        <v>363</v>
      </c>
      <c r="B40" s="9" t="s">
        <v>240</v>
      </c>
      <c r="C40" s="9" t="s">
        <v>364</v>
      </c>
      <c r="D40" s="9" t="s">
        <v>136</v>
      </c>
      <c r="E40" s="9" t="s">
        <v>36</v>
      </c>
      <c r="F40" s="9" t="s">
        <v>365</v>
      </c>
      <c r="G40" s="9" t="s">
        <v>366</v>
      </c>
      <c r="H40" s="9" t="s">
        <v>367</v>
      </c>
      <c r="I40" s="9" t="s">
        <v>368</v>
      </c>
      <c r="J40" s="9" t="s">
        <v>369</v>
      </c>
      <c r="K40" s="10" t="s">
        <v>25</v>
      </c>
      <c r="L40" s="9" t="s">
        <v>370</v>
      </c>
      <c r="M40" s="9" t="s">
        <v>43</v>
      </c>
      <c r="N40" s="9" t="s">
        <v>54</v>
      </c>
      <c r="O40" s="9" t="s">
        <v>73</v>
      </c>
      <c r="P40" s="9" t="s">
        <v>371</v>
      </c>
    </row>
    <row r="41" customFormat="false" ht="85.5" hidden="false" customHeight="true" outlineLevel="0" collapsed="false">
      <c r="A41" s="11" t="s">
        <v>372</v>
      </c>
      <c r="B41" s="11" t="s">
        <v>240</v>
      </c>
      <c r="C41" s="11" t="s">
        <v>364</v>
      </c>
      <c r="D41" s="11" t="s">
        <v>136</v>
      </c>
      <c r="E41" s="11" t="s">
        <v>118</v>
      </c>
      <c r="F41" s="11" t="s">
        <v>373</v>
      </c>
      <c r="G41" s="11" t="s">
        <v>374</v>
      </c>
      <c r="H41" s="11" t="s">
        <v>375</v>
      </c>
      <c r="I41" s="11" t="s">
        <v>376</v>
      </c>
      <c r="J41" s="11" t="s">
        <v>377</v>
      </c>
      <c r="K41" s="12" t="s">
        <v>25</v>
      </c>
      <c r="L41" s="11" t="s">
        <v>378</v>
      </c>
      <c r="M41" s="11" t="s">
        <v>43</v>
      </c>
      <c r="N41" s="11" t="s">
        <v>54</v>
      </c>
      <c r="O41" s="11" t="s">
        <v>73</v>
      </c>
      <c r="P41" s="11" t="s">
        <v>338</v>
      </c>
    </row>
    <row r="42" customFormat="false" ht="85.5" hidden="false" customHeight="true" outlineLevel="0" collapsed="false">
      <c r="A42" s="9" t="s">
        <v>379</v>
      </c>
      <c r="B42" s="9" t="s">
        <v>240</v>
      </c>
      <c r="C42" s="9" t="s">
        <v>380</v>
      </c>
      <c r="D42" s="9" t="s">
        <v>35</v>
      </c>
      <c r="E42" s="9" t="s">
        <v>118</v>
      </c>
      <c r="F42" s="9" t="s">
        <v>381</v>
      </c>
      <c r="G42" s="9" t="s">
        <v>382</v>
      </c>
      <c r="H42" s="9" t="s">
        <v>383</v>
      </c>
      <c r="I42" s="9" t="s">
        <v>384</v>
      </c>
      <c r="J42" s="9" t="s">
        <v>385</v>
      </c>
      <c r="K42" s="10" t="s">
        <v>25</v>
      </c>
      <c r="L42" s="9" t="s">
        <v>386</v>
      </c>
      <c r="M42" s="9" t="s">
        <v>43</v>
      </c>
      <c r="N42" s="9" t="s">
        <v>54</v>
      </c>
      <c r="O42" s="9" t="s">
        <v>45</v>
      </c>
      <c r="P42" s="9" t="s">
        <v>387</v>
      </c>
    </row>
    <row r="43" customFormat="false" ht="85.5" hidden="false" customHeight="true" outlineLevel="0" collapsed="false">
      <c r="A43" s="11" t="s">
        <v>388</v>
      </c>
      <c r="B43" s="11" t="s">
        <v>240</v>
      </c>
      <c r="C43" s="11" t="s">
        <v>380</v>
      </c>
      <c r="D43" s="11" t="s">
        <v>35</v>
      </c>
      <c r="E43" s="11" t="s">
        <v>389</v>
      </c>
      <c r="F43" s="11" t="s">
        <v>390</v>
      </c>
      <c r="G43" s="11" t="s">
        <v>391</v>
      </c>
      <c r="H43" s="11" t="s">
        <v>392</v>
      </c>
      <c r="I43" s="11" t="s">
        <v>393</v>
      </c>
      <c r="J43" s="11" t="s">
        <v>394</v>
      </c>
      <c r="K43" s="12" t="s">
        <v>25</v>
      </c>
      <c r="L43" s="11" t="s">
        <v>395</v>
      </c>
      <c r="M43" s="11" t="s">
        <v>43</v>
      </c>
      <c r="N43" s="11" t="s">
        <v>64</v>
      </c>
      <c r="O43" s="11" t="s">
        <v>45</v>
      </c>
      <c r="P43" s="11" t="s">
        <v>396</v>
      </c>
    </row>
    <row r="44" customFormat="false" ht="85.5" hidden="false" customHeight="true" outlineLevel="0" collapsed="false">
      <c r="A44" s="9" t="s">
        <v>397</v>
      </c>
      <c r="B44" s="9" t="s">
        <v>240</v>
      </c>
      <c r="C44" s="9" t="s">
        <v>398</v>
      </c>
      <c r="D44" s="9" t="s">
        <v>35</v>
      </c>
      <c r="E44" s="9" t="s">
        <v>118</v>
      </c>
      <c r="F44" s="9" t="s">
        <v>399</v>
      </c>
      <c r="G44" s="9" t="s">
        <v>287</v>
      </c>
      <c r="H44" s="9" t="s">
        <v>400</v>
      </c>
      <c r="I44" s="9" t="s">
        <v>401</v>
      </c>
      <c r="J44" s="9" t="s">
        <v>402</v>
      </c>
      <c r="K44" s="10" t="s">
        <v>25</v>
      </c>
      <c r="L44" s="9" t="s">
        <v>403</v>
      </c>
      <c r="M44" s="9" t="s">
        <v>43</v>
      </c>
      <c r="N44" s="9" t="s">
        <v>64</v>
      </c>
      <c r="O44" s="9" t="s">
        <v>45</v>
      </c>
      <c r="P44" s="9" t="s">
        <v>404</v>
      </c>
    </row>
    <row r="45" customFormat="false" ht="85.5" hidden="false" customHeight="true" outlineLevel="0" collapsed="false">
      <c r="A45" s="11" t="s">
        <v>405</v>
      </c>
      <c r="B45" s="11" t="s">
        <v>240</v>
      </c>
      <c r="C45" s="11" t="s">
        <v>406</v>
      </c>
      <c r="D45" s="11" t="s">
        <v>35</v>
      </c>
      <c r="E45" s="11" t="s">
        <v>188</v>
      </c>
      <c r="F45" s="11" t="s">
        <v>407</v>
      </c>
      <c r="G45" s="11" t="s">
        <v>408</v>
      </c>
      <c r="H45" s="11" t="s">
        <v>409</v>
      </c>
      <c r="I45" s="11" t="s">
        <v>410</v>
      </c>
      <c r="J45" s="11" t="s">
        <v>411</v>
      </c>
      <c r="K45" s="12" t="s">
        <v>25</v>
      </c>
      <c r="L45" s="11" t="s">
        <v>412</v>
      </c>
      <c r="M45" s="11" t="s">
        <v>43</v>
      </c>
      <c r="N45" s="11" t="s">
        <v>54</v>
      </c>
      <c r="O45" s="11" t="s">
        <v>73</v>
      </c>
      <c r="P45" s="11" t="s">
        <v>413</v>
      </c>
    </row>
    <row r="46" customFormat="false" ht="85.5" hidden="false" customHeight="true" outlineLevel="0" collapsed="false">
      <c r="A46" s="9" t="s">
        <v>414</v>
      </c>
      <c r="B46" s="9" t="s">
        <v>240</v>
      </c>
      <c r="C46" s="9" t="s">
        <v>406</v>
      </c>
      <c r="D46" s="9" t="s">
        <v>35</v>
      </c>
      <c r="E46" s="9" t="s">
        <v>57</v>
      </c>
      <c r="F46" s="9" t="s">
        <v>415</v>
      </c>
      <c r="G46" s="9" t="s">
        <v>416</v>
      </c>
      <c r="H46" s="9" t="s">
        <v>417</v>
      </c>
      <c r="I46" s="9" t="s">
        <v>418</v>
      </c>
      <c r="J46" s="9" t="s">
        <v>419</v>
      </c>
      <c r="K46" s="10" t="s">
        <v>25</v>
      </c>
      <c r="L46" s="9" t="s">
        <v>420</v>
      </c>
      <c r="M46" s="9" t="s">
        <v>43</v>
      </c>
      <c r="N46" s="9" t="s">
        <v>54</v>
      </c>
      <c r="O46" s="9" t="s">
        <v>73</v>
      </c>
      <c r="P46" s="9" t="s">
        <v>413</v>
      </c>
    </row>
    <row r="47" customFormat="false" ht="85.5" hidden="false" customHeight="true" outlineLevel="0" collapsed="false">
      <c r="A47" s="11" t="s">
        <v>421</v>
      </c>
      <c r="B47" s="11" t="s">
        <v>240</v>
      </c>
      <c r="C47" s="11" t="s">
        <v>406</v>
      </c>
      <c r="D47" s="11" t="s">
        <v>35</v>
      </c>
      <c r="E47" s="11" t="s">
        <v>57</v>
      </c>
      <c r="F47" s="11" t="s">
        <v>422</v>
      </c>
      <c r="G47" s="11" t="s">
        <v>423</v>
      </c>
      <c r="H47" s="11" t="s">
        <v>424</v>
      </c>
      <c r="I47" s="11" t="s">
        <v>425</v>
      </c>
      <c r="J47" s="11" t="s">
        <v>426</v>
      </c>
      <c r="K47" s="12" t="s">
        <v>25</v>
      </c>
      <c r="L47" s="11" t="s">
        <v>427</v>
      </c>
      <c r="M47" s="11" t="s">
        <v>43</v>
      </c>
      <c r="N47" s="11" t="s">
        <v>54</v>
      </c>
      <c r="O47" s="11" t="s">
        <v>45</v>
      </c>
      <c r="P47" s="11" t="s">
        <v>428</v>
      </c>
    </row>
    <row r="48" customFormat="false" ht="85.5" hidden="false" customHeight="true" outlineLevel="0" collapsed="false">
      <c r="A48" s="9" t="s">
        <v>429</v>
      </c>
      <c r="B48" s="9" t="s">
        <v>430</v>
      </c>
      <c r="C48" s="9" t="s">
        <v>431</v>
      </c>
      <c r="D48" s="9" t="s">
        <v>35</v>
      </c>
      <c r="E48" s="9" t="s">
        <v>188</v>
      </c>
      <c r="F48" s="9" t="s">
        <v>432</v>
      </c>
      <c r="G48" s="9" t="s">
        <v>190</v>
      </c>
      <c r="H48" s="9" t="s">
        <v>433</v>
      </c>
      <c r="I48" s="9" t="s">
        <v>434</v>
      </c>
      <c r="J48" s="9" t="s">
        <v>435</v>
      </c>
      <c r="K48" s="10" t="s">
        <v>25</v>
      </c>
      <c r="L48" s="9" t="s">
        <v>436</v>
      </c>
      <c r="M48" s="9" t="s">
        <v>43</v>
      </c>
      <c r="N48" s="9" t="s">
        <v>54</v>
      </c>
      <c r="O48" s="9" t="s">
        <v>45</v>
      </c>
      <c r="P48" s="9" t="s">
        <v>437</v>
      </c>
    </row>
    <row r="49" customFormat="false" ht="85.5" hidden="false" customHeight="true" outlineLevel="0" collapsed="false">
      <c r="A49" s="11" t="s">
        <v>438</v>
      </c>
      <c r="B49" s="11" t="s">
        <v>430</v>
      </c>
      <c r="C49" s="11" t="s">
        <v>431</v>
      </c>
      <c r="D49" s="11" t="s">
        <v>35</v>
      </c>
      <c r="E49" s="11" t="s">
        <v>36</v>
      </c>
      <c r="F49" s="11" t="s">
        <v>439</v>
      </c>
      <c r="G49" s="11" t="s">
        <v>440</v>
      </c>
      <c r="H49" s="11" t="s">
        <v>441</v>
      </c>
      <c r="I49" s="11" t="s">
        <v>442</v>
      </c>
      <c r="J49" s="11" t="s">
        <v>443</v>
      </c>
      <c r="K49" s="12" t="s">
        <v>25</v>
      </c>
      <c r="L49" s="11" t="s">
        <v>444</v>
      </c>
      <c r="M49" s="11" t="s">
        <v>43</v>
      </c>
      <c r="N49" s="11" t="s">
        <v>54</v>
      </c>
      <c r="O49" s="11" t="s">
        <v>45</v>
      </c>
      <c r="P49" s="11" t="s">
        <v>437</v>
      </c>
    </row>
    <row r="50" customFormat="false" ht="85.5" hidden="false" customHeight="true" outlineLevel="0" collapsed="false">
      <c r="A50" s="9" t="s">
        <v>445</v>
      </c>
      <c r="B50" s="9" t="s">
        <v>430</v>
      </c>
      <c r="C50" s="9" t="s">
        <v>431</v>
      </c>
      <c r="D50" s="9" t="s">
        <v>35</v>
      </c>
      <c r="E50" s="9" t="s">
        <v>57</v>
      </c>
      <c r="F50" s="9" t="s">
        <v>446</v>
      </c>
      <c r="G50" s="9" t="s">
        <v>447</v>
      </c>
      <c r="H50" s="9" t="s">
        <v>448</v>
      </c>
      <c r="I50" s="9" t="s">
        <v>449</v>
      </c>
      <c r="J50" s="9" t="s">
        <v>450</v>
      </c>
      <c r="K50" s="10" t="s">
        <v>25</v>
      </c>
      <c r="L50" s="9" t="s">
        <v>451</v>
      </c>
      <c r="M50" s="9" t="s">
        <v>43</v>
      </c>
      <c r="N50" s="9" t="s">
        <v>54</v>
      </c>
      <c r="O50" s="9" t="s">
        <v>45</v>
      </c>
      <c r="P50" s="9" t="s">
        <v>452</v>
      </c>
    </row>
    <row r="51" customFormat="false" ht="85.5" hidden="false" customHeight="true" outlineLevel="0" collapsed="false">
      <c r="A51" s="11" t="s">
        <v>453</v>
      </c>
      <c r="B51" s="11" t="s">
        <v>430</v>
      </c>
      <c r="C51" s="11" t="s">
        <v>431</v>
      </c>
      <c r="D51" s="11" t="s">
        <v>35</v>
      </c>
      <c r="E51" s="11" t="s">
        <v>188</v>
      </c>
      <c r="F51" s="11" t="s">
        <v>454</v>
      </c>
      <c r="G51" s="11" t="s">
        <v>455</v>
      </c>
      <c r="H51" s="11" t="s">
        <v>456</v>
      </c>
      <c r="I51" s="11" t="s">
        <v>457</v>
      </c>
      <c r="J51" s="11" t="s">
        <v>458</v>
      </c>
      <c r="K51" s="12" t="s">
        <v>25</v>
      </c>
      <c r="L51" s="11" t="s">
        <v>459</v>
      </c>
      <c r="M51" s="11" t="s">
        <v>43</v>
      </c>
      <c r="N51" s="11" t="s">
        <v>54</v>
      </c>
      <c r="O51" s="11" t="s">
        <v>45</v>
      </c>
      <c r="P51" s="11" t="s">
        <v>460</v>
      </c>
    </row>
    <row r="52" customFormat="false" ht="85.5" hidden="false" customHeight="true" outlineLevel="0" collapsed="false">
      <c r="A52" s="9" t="s">
        <v>461</v>
      </c>
      <c r="B52" s="9" t="s">
        <v>430</v>
      </c>
      <c r="C52" s="9" t="s">
        <v>462</v>
      </c>
      <c r="D52" s="9" t="s">
        <v>35</v>
      </c>
      <c r="E52" s="9" t="s">
        <v>118</v>
      </c>
      <c r="F52" s="9" t="s">
        <v>463</v>
      </c>
      <c r="G52" s="9" t="s">
        <v>464</v>
      </c>
      <c r="H52" s="9" t="s">
        <v>465</v>
      </c>
      <c r="I52" s="9" t="s">
        <v>466</v>
      </c>
      <c r="J52" s="9" t="s">
        <v>467</v>
      </c>
      <c r="K52" s="10" t="s">
        <v>25</v>
      </c>
      <c r="L52" s="9" t="s">
        <v>468</v>
      </c>
      <c r="M52" s="9" t="s">
        <v>43</v>
      </c>
      <c r="N52" s="9" t="s">
        <v>54</v>
      </c>
      <c r="O52" s="9" t="s">
        <v>45</v>
      </c>
      <c r="P52" s="9" t="s">
        <v>469</v>
      </c>
    </row>
    <row r="53" customFormat="false" ht="85.5" hidden="false" customHeight="true" outlineLevel="0" collapsed="false">
      <c r="A53" s="11" t="s">
        <v>470</v>
      </c>
      <c r="B53" s="11" t="s">
        <v>430</v>
      </c>
      <c r="C53" s="11" t="s">
        <v>462</v>
      </c>
      <c r="D53" s="11" t="s">
        <v>35</v>
      </c>
      <c r="E53" s="11" t="s">
        <v>57</v>
      </c>
      <c r="F53" s="11" t="s">
        <v>471</v>
      </c>
      <c r="G53" s="11" t="s">
        <v>472</v>
      </c>
      <c r="H53" s="11" t="s">
        <v>473</v>
      </c>
      <c r="I53" s="11" t="s">
        <v>474</v>
      </c>
      <c r="J53" s="11" t="s">
        <v>475</v>
      </c>
      <c r="K53" s="12" t="s">
        <v>25</v>
      </c>
      <c r="L53" s="11" t="s">
        <v>476</v>
      </c>
      <c r="M53" s="11" t="s">
        <v>43</v>
      </c>
      <c r="N53" s="11" t="s">
        <v>64</v>
      </c>
      <c r="O53" s="11" t="s">
        <v>73</v>
      </c>
      <c r="P53" s="11" t="s">
        <v>477</v>
      </c>
    </row>
    <row r="54" customFormat="false" ht="85.5" hidden="false" customHeight="true" outlineLevel="0" collapsed="false">
      <c r="A54" s="9" t="s">
        <v>478</v>
      </c>
      <c r="B54" s="9" t="s">
        <v>430</v>
      </c>
      <c r="C54" s="9" t="s">
        <v>479</v>
      </c>
      <c r="D54" s="9" t="s">
        <v>35</v>
      </c>
      <c r="E54" s="9" t="s">
        <v>36</v>
      </c>
      <c r="F54" s="9" t="s">
        <v>480</v>
      </c>
      <c r="G54" s="9" t="s">
        <v>481</v>
      </c>
      <c r="H54" s="9" t="s">
        <v>482</v>
      </c>
      <c r="I54" s="9" t="s">
        <v>483</v>
      </c>
      <c r="J54" s="9" t="s">
        <v>484</v>
      </c>
      <c r="K54" s="10" t="s">
        <v>25</v>
      </c>
      <c r="L54" s="9" t="s">
        <v>485</v>
      </c>
      <c r="M54" s="9" t="s">
        <v>43</v>
      </c>
      <c r="N54" s="9" t="s">
        <v>54</v>
      </c>
      <c r="O54" s="9" t="s">
        <v>45</v>
      </c>
      <c r="P54" s="9" t="s">
        <v>486</v>
      </c>
    </row>
    <row r="55" customFormat="false" ht="85.5" hidden="false" customHeight="true" outlineLevel="0" collapsed="false">
      <c r="A55" s="11" t="s">
        <v>487</v>
      </c>
      <c r="B55" s="11" t="s">
        <v>430</v>
      </c>
      <c r="C55" s="11" t="s">
        <v>479</v>
      </c>
      <c r="D55" s="11" t="s">
        <v>35</v>
      </c>
      <c r="E55" s="11" t="s">
        <v>118</v>
      </c>
      <c r="F55" s="11" t="s">
        <v>488</v>
      </c>
      <c r="G55" s="11" t="s">
        <v>489</v>
      </c>
      <c r="H55" s="11" t="s">
        <v>490</v>
      </c>
      <c r="I55" s="11" t="s">
        <v>491</v>
      </c>
      <c r="J55" s="11" t="s">
        <v>492</v>
      </c>
      <c r="K55" s="12" t="s">
        <v>25</v>
      </c>
      <c r="L55" s="11" t="s">
        <v>493</v>
      </c>
      <c r="M55" s="11" t="s">
        <v>43</v>
      </c>
      <c r="N55" s="11" t="s">
        <v>54</v>
      </c>
      <c r="O55" s="11" t="s">
        <v>45</v>
      </c>
      <c r="P55" s="11" t="s">
        <v>486</v>
      </c>
    </row>
    <row r="56" customFormat="false" ht="85.5" hidden="false" customHeight="true" outlineLevel="0" collapsed="false">
      <c r="A56" s="9" t="s">
        <v>494</v>
      </c>
      <c r="B56" s="9" t="s">
        <v>430</v>
      </c>
      <c r="C56" s="9" t="s">
        <v>479</v>
      </c>
      <c r="D56" s="9" t="s">
        <v>35</v>
      </c>
      <c r="E56" s="9" t="s">
        <v>36</v>
      </c>
      <c r="F56" s="9" t="s">
        <v>495</v>
      </c>
      <c r="G56" s="9" t="s">
        <v>496</v>
      </c>
      <c r="H56" s="9" t="s">
        <v>497</v>
      </c>
      <c r="I56" s="9" t="s">
        <v>498</v>
      </c>
      <c r="J56" s="9" t="s">
        <v>499</v>
      </c>
      <c r="K56" s="10" t="s">
        <v>25</v>
      </c>
      <c r="L56" s="9" t="s">
        <v>500</v>
      </c>
      <c r="M56" s="9" t="s">
        <v>43</v>
      </c>
      <c r="N56" s="9" t="s">
        <v>54</v>
      </c>
      <c r="O56" s="9" t="s">
        <v>73</v>
      </c>
      <c r="P56" s="9" t="s">
        <v>501</v>
      </c>
    </row>
    <row r="57" customFormat="false" ht="85.5" hidden="false" customHeight="true" outlineLevel="0" collapsed="false">
      <c r="A57" s="11" t="s">
        <v>502</v>
      </c>
      <c r="B57" s="11" t="s">
        <v>430</v>
      </c>
      <c r="C57" s="11" t="s">
        <v>503</v>
      </c>
      <c r="D57" s="11" t="s">
        <v>35</v>
      </c>
      <c r="E57" s="11" t="s">
        <v>57</v>
      </c>
      <c r="F57" s="11" t="s">
        <v>504</v>
      </c>
      <c r="G57" s="11" t="s">
        <v>505</v>
      </c>
      <c r="H57" s="11" t="s">
        <v>506</v>
      </c>
      <c r="I57" s="11" t="s">
        <v>507</v>
      </c>
      <c r="J57" s="11" t="s">
        <v>508</v>
      </c>
      <c r="K57" s="12" t="s">
        <v>25</v>
      </c>
      <c r="L57" s="11" t="s">
        <v>509</v>
      </c>
      <c r="M57" s="11" t="s">
        <v>43</v>
      </c>
      <c r="N57" s="11" t="s">
        <v>54</v>
      </c>
      <c r="O57" s="11" t="s">
        <v>45</v>
      </c>
      <c r="P57" s="11" t="s">
        <v>510</v>
      </c>
    </row>
    <row r="58" customFormat="false" ht="85.5" hidden="false" customHeight="true" outlineLevel="0" collapsed="false">
      <c r="A58" s="9" t="s">
        <v>511</v>
      </c>
      <c r="B58" s="9" t="s">
        <v>430</v>
      </c>
      <c r="C58" s="9" t="s">
        <v>503</v>
      </c>
      <c r="D58" s="9" t="s">
        <v>35</v>
      </c>
      <c r="E58" s="9" t="s">
        <v>118</v>
      </c>
      <c r="F58" s="9" t="s">
        <v>512</v>
      </c>
      <c r="G58" s="9" t="s">
        <v>513</v>
      </c>
      <c r="H58" s="9" t="s">
        <v>514</v>
      </c>
      <c r="I58" s="9" t="s">
        <v>515</v>
      </c>
      <c r="J58" s="9" t="s">
        <v>516</v>
      </c>
      <c r="K58" s="10" t="s">
        <v>25</v>
      </c>
      <c r="L58" s="9" t="s">
        <v>517</v>
      </c>
      <c r="M58" s="9" t="s">
        <v>43</v>
      </c>
      <c r="N58" s="9" t="s">
        <v>54</v>
      </c>
      <c r="O58" s="9" t="s">
        <v>73</v>
      </c>
      <c r="P58" s="9" t="s">
        <v>518</v>
      </c>
    </row>
    <row r="59" customFormat="false" ht="85.5" hidden="false" customHeight="true" outlineLevel="0" collapsed="false">
      <c r="A59" s="11" t="s">
        <v>519</v>
      </c>
      <c r="B59" s="11" t="s">
        <v>430</v>
      </c>
      <c r="C59" s="11" t="s">
        <v>520</v>
      </c>
      <c r="D59" s="11" t="s">
        <v>35</v>
      </c>
      <c r="E59" s="11" t="s">
        <v>188</v>
      </c>
      <c r="F59" s="11" t="s">
        <v>521</v>
      </c>
      <c r="G59" s="11" t="s">
        <v>522</v>
      </c>
      <c r="H59" s="11" t="s">
        <v>523</v>
      </c>
      <c r="I59" s="11" t="s">
        <v>472</v>
      </c>
      <c r="J59" s="11" t="s">
        <v>524</v>
      </c>
      <c r="K59" s="12" t="s">
        <v>25</v>
      </c>
      <c r="L59" s="11" t="s">
        <v>525</v>
      </c>
      <c r="M59" s="11" t="s">
        <v>43</v>
      </c>
      <c r="N59" s="11" t="s">
        <v>54</v>
      </c>
      <c r="O59" s="11" t="s">
        <v>45</v>
      </c>
      <c r="P59" s="11" t="s">
        <v>526</v>
      </c>
    </row>
    <row r="60" customFormat="false" ht="85.5" hidden="false" customHeight="true" outlineLevel="0" collapsed="false">
      <c r="A60" s="9" t="s">
        <v>527</v>
      </c>
      <c r="B60" s="9" t="s">
        <v>430</v>
      </c>
      <c r="C60" s="9" t="s">
        <v>520</v>
      </c>
      <c r="D60" s="9" t="s">
        <v>35</v>
      </c>
      <c r="E60" s="9" t="s">
        <v>36</v>
      </c>
      <c r="F60" s="9" t="s">
        <v>528</v>
      </c>
      <c r="G60" s="9" t="s">
        <v>529</v>
      </c>
      <c r="H60" s="9" t="s">
        <v>530</v>
      </c>
      <c r="I60" s="9" t="s">
        <v>531</v>
      </c>
      <c r="J60" s="9" t="s">
        <v>532</v>
      </c>
      <c r="K60" s="10" t="s">
        <v>25</v>
      </c>
      <c r="L60" s="9" t="s">
        <v>533</v>
      </c>
      <c r="M60" s="9" t="s">
        <v>43</v>
      </c>
      <c r="N60" s="9" t="s">
        <v>64</v>
      </c>
      <c r="O60" s="9" t="s">
        <v>45</v>
      </c>
      <c r="P60" s="9" t="s">
        <v>534</v>
      </c>
    </row>
    <row r="61" customFormat="false" ht="85.5" hidden="false" customHeight="true" outlineLevel="0" collapsed="false">
      <c r="A61" s="11" t="s">
        <v>535</v>
      </c>
      <c r="B61" s="11" t="s">
        <v>430</v>
      </c>
      <c r="C61" s="11" t="s">
        <v>536</v>
      </c>
      <c r="D61" s="11" t="s">
        <v>35</v>
      </c>
      <c r="E61" s="11" t="s">
        <v>57</v>
      </c>
      <c r="F61" s="11" t="s">
        <v>537</v>
      </c>
      <c r="G61" s="11" t="s">
        <v>45</v>
      </c>
      <c r="H61" s="11" t="s">
        <v>538</v>
      </c>
      <c r="I61" s="11" t="s">
        <v>539</v>
      </c>
      <c r="J61" s="11" t="s">
        <v>540</v>
      </c>
      <c r="K61" s="12" t="s">
        <v>25</v>
      </c>
      <c r="L61" s="11" t="s">
        <v>541</v>
      </c>
      <c r="M61" s="11" t="s">
        <v>43</v>
      </c>
      <c r="N61" s="11" t="s">
        <v>64</v>
      </c>
      <c r="O61" s="11" t="s">
        <v>45</v>
      </c>
      <c r="P61" s="11" t="s">
        <v>534</v>
      </c>
    </row>
    <row r="62" customFormat="false" ht="85.5" hidden="false" customHeight="true" outlineLevel="0" collapsed="false">
      <c r="A62" s="9" t="s">
        <v>542</v>
      </c>
      <c r="B62" s="9" t="s">
        <v>430</v>
      </c>
      <c r="C62" s="9" t="s">
        <v>536</v>
      </c>
      <c r="D62" s="9" t="s">
        <v>35</v>
      </c>
      <c r="E62" s="9" t="s">
        <v>118</v>
      </c>
      <c r="F62" s="9" t="s">
        <v>543</v>
      </c>
      <c r="G62" s="9" t="s">
        <v>544</v>
      </c>
      <c r="H62" s="9" t="s">
        <v>545</v>
      </c>
      <c r="I62" s="9" t="s">
        <v>546</v>
      </c>
      <c r="J62" s="9" t="s">
        <v>547</v>
      </c>
      <c r="K62" s="10" t="s">
        <v>25</v>
      </c>
      <c r="L62" s="9" t="s">
        <v>548</v>
      </c>
      <c r="M62" s="9" t="s">
        <v>549</v>
      </c>
      <c r="N62" s="9" t="s">
        <v>64</v>
      </c>
      <c r="O62" s="9" t="s">
        <v>73</v>
      </c>
      <c r="P62" s="9" t="s">
        <v>550</v>
      </c>
    </row>
    <row r="63" customFormat="false" ht="85.5" hidden="false" customHeight="true" outlineLevel="0" collapsed="false">
      <c r="A63" s="11" t="s">
        <v>551</v>
      </c>
      <c r="B63" s="11" t="s">
        <v>430</v>
      </c>
      <c r="C63" s="11" t="s">
        <v>552</v>
      </c>
      <c r="D63" s="11" t="s">
        <v>35</v>
      </c>
      <c r="E63" s="11" t="s">
        <v>57</v>
      </c>
      <c r="F63" s="11" t="s">
        <v>553</v>
      </c>
      <c r="G63" s="11" t="s">
        <v>554</v>
      </c>
      <c r="H63" s="11" t="s">
        <v>555</v>
      </c>
      <c r="I63" s="11" t="s">
        <v>556</v>
      </c>
      <c r="J63" s="11" t="s">
        <v>557</v>
      </c>
      <c r="K63" s="12" t="s">
        <v>25</v>
      </c>
      <c r="L63" s="11" t="s">
        <v>558</v>
      </c>
      <c r="M63" s="11" t="s">
        <v>43</v>
      </c>
      <c r="N63" s="11" t="s">
        <v>54</v>
      </c>
      <c r="O63" s="11" t="s">
        <v>45</v>
      </c>
      <c r="P63" s="11" t="s">
        <v>559</v>
      </c>
    </row>
    <row r="64" customFormat="false" ht="85.5" hidden="false" customHeight="true" outlineLevel="0" collapsed="false">
      <c r="A64" s="9" t="s">
        <v>560</v>
      </c>
      <c r="B64" s="9" t="s">
        <v>430</v>
      </c>
      <c r="C64" s="9" t="s">
        <v>561</v>
      </c>
      <c r="D64" s="9" t="s">
        <v>35</v>
      </c>
      <c r="E64" s="9" t="s">
        <v>36</v>
      </c>
      <c r="F64" s="9" t="s">
        <v>562</v>
      </c>
      <c r="G64" s="9" t="s">
        <v>563</v>
      </c>
      <c r="H64" s="9" t="s">
        <v>564</v>
      </c>
      <c r="I64" s="9" t="s">
        <v>565</v>
      </c>
      <c r="J64" s="9" t="s">
        <v>566</v>
      </c>
      <c r="K64" s="10" t="s">
        <v>25</v>
      </c>
      <c r="L64" s="9" t="s">
        <v>567</v>
      </c>
      <c r="M64" s="9" t="s">
        <v>43</v>
      </c>
      <c r="N64" s="9" t="s">
        <v>54</v>
      </c>
      <c r="O64" s="9" t="s">
        <v>45</v>
      </c>
      <c r="P64" s="9" t="s">
        <v>568</v>
      </c>
    </row>
    <row r="65" customFormat="false" ht="85.5" hidden="false" customHeight="true" outlineLevel="0" collapsed="false">
      <c r="A65" s="11" t="s">
        <v>569</v>
      </c>
      <c r="B65" s="11" t="s">
        <v>430</v>
      </c>
      <c r="C65" s="11" t="s">
        <v>570</v>
      </c>
      <c r="D65" s="11" t="s">
        <v>35</v>
      </c>
      <c r="E65" s="11" t="s">
        <v>57</v>
      </c>
      <c r="F65" s="11" t="s">
        <v>571</v>
      </c>
      <c r="G65" s="11" t="s">
        <v>572</v>
      </c>
      <c r="H65" s="11" t="s">
        <v>573</v>
      </c>
      <c r="I65" s="11" t="s">
        <v>574</v>
      </c>
      <c r="J65" s="11" t="s">
        <v>575</v>
      </c>
      <c r="K65" s="12" t="s">
        <v>25</v>
      </c>
      <c r="L65" s="11" t="s">
        <v>576</v>
      </c>
      <c r="M65" s="11" t="s">
        <v>43</v>
      </c>
      <c r="N65" s="11" t="s">
        <v>64</v>
      </c>
      <c r="O65" s="11" t="s">
        <v>45</v>
      </c>
      <c r="P65" s="11" t="s">
        <v>577</v>
      </c>
    </row>
    <row r="66" customFormat="false" ht="85.5" hidden="false" customHeight="true" outlineLevel="0" collapsed="false">
      <c r="A66" s="9" t="s">
        <v>578</v>
      </c>
      <c r="B66" s="9" t="s">
        <v>430</v>
      </c>
      <c r="C66" s="9" t="s">
        <v>579</v>
      </c>
      <c r="D66" s="9" t="s">
        <v>35</v>
      </c>
      <c r="E66" s="9" t="s">
        <v>118</v>
      </c>
      <c r="F66" s="9" t="s">
        <v>580</v>
      </c>
      <c r="G66" s="9" t="s">
        <v>581</v>
      </c>
      <c r="H66" s="9" t="s">
        <v>582</v>
      </c>
      <c r="I66" s="9" t="s">
        <v>583</v>
      </c>
      <c r="J66" s="9" t="s">
        <v>584</v>
      </c>
      <c r="K66" s="10" t="s">
        <v>25</v>
      </c>
      <c r="L66" s="9" t="s">
        <v>585</v>
      </c>
      <c r="M66" s="9" t="s">
        <v>43</v>
      </c>
      <c r="N66" s="9" t="s">
        <v>54</v>
      </c>
      <c r="O66" s="9" t="s">
        <v>45</v>
      </c>
      <c r="P66" s="9" t="s">
        <v>586</v>
      </c>
    </row>
    <row r="67" customFormat="false" ht="85.5" hidden="false" customHeight="true" outlineLevel="0" collapsed="false">
      <c r="A67" s="11" t="s">
        <v>587</v>
      </c>
      <c r="B67" s="11" t="s">
        <v>430</v>
      </c>
      <c r="C67" s="11" t="s">
        <v>588</v>
      </c>
      <c r="D67" s="11" t="s">
        <v>35</v>
      </c>
      <c r="E67" s="11" t="s">
        <v>36</v>
      </c>
      <c r="F67" s="11" t="s">
        <v>589</v>
      </c>
      <c r="G67" s="11" t="s">
        <v>590</v>
      </c>
      <c r="H67" s="11" t="s">
        <v>591</v>
      </c>
      <c r="I67" s="11" t="s">
        <v>592</v>
      </c>
      <c r="J67" s="11" t="s">
        <v>593</v>
      </c>
      <c r="K67" s="12" t="s">
        <v>25</v>
      </c>
      <c r="L67" s="11" t="s">
        <v>594</v>
      </c>
      <c r="M67" s="11" t="s">
        <v>43</v>
      </c>
      <c r="N67" s="11" t="s">
        <v>44</v>
      </c>
      <c r="O67" s="11" t="s">
        <v>45</v>
      </c>
      <c r="P67" s="11" t="s">
        <v>595</v>
      </c>
    </row>
    <row r="68" customFormat="false" ht="85.5" hidden="false" customHeight="true" outlineLevel="0" collapsed="false">
      <c r="A68" s="9" t="s">
        <v>596</v>
      </c>
      <c r="B68" s="9" t="s">
        <v>430</v>
      </c>
      <c r="C68" s="9" t="s">
        <v>588</v>
      </c>
      <c r="D68" s="9" t="s">
        <v>35</v>
      </c>
      <c r="E68" s="9" t="s">
        <v>36</v>
      </c>
      <c r="F68" s="9" t="s">
        <v>597</v>
      </c>
      <c r="G68" s="9" t="s">
        <v>598</v>
      </c>
      <c r="H68" s="9" t="s">
        <v>599</v>
      </c>
      <c r="I68" s="9" t="s">
        <v>600</v>
      </c>
      <c r="J68" s="9" t="s">
        <v>601</v>
      </c>
      <c r="K68" s="10" t="s">
        <v>25</v>
      </c>
      <c r="L68" s="9" t="s">
        <v>602</v>
      </c>
      <c r="M68" s="9" t="s">
        <v>43</v>
      </c>
      <c r="N68" s="9" t="s">
        <v>54</v>
      </c>
      <c r="O68" s="9" t="s">
        <v>45</v>
      </c>
      <c r="P68" s="9" t="s">
        <v>603</v>
      </c>
    </row>
    <row r="69" customFormat="false" ht="85.5" hidden="false" customHeight="true" outlineLevel="0" collapsed="false">
      <c r="A69" s="11" t="s">
        <v>604</v>
      </c>
      <c r="B69" s="11" t="s">
        <v>430</v>
      </c>
      <c r="C69" s="11" t="s">
        <v>605</v>
      </c>
      <c r="D69" s="11" t="s">
        <v>136</v>
      </c>
      <c r="E69" s="11" t="s">
        <v>57</v>
      </c>
      <c r="F69" s="11" t="s">
        <v>606</v>
      </c>
      <c r="G69" s="11" t="s">
        <v>607</v>
      </c>
      <c r="H69" s="11" t="s">
        <v>608</v>
      </c>
      <c r="I69" s="11" t="s">
        <v>609</v>
      </c>
      <c r="J69" s="11" t="s">
        <v>610</v>
      </c>
      <c r="K69" s="12" t="s">
        <v>27</v>
      </c>
      <c r="L69" s="11" t="s">
        <v>611</v>
      </c>
      <c r="M69" s="11" t="s">
        <v>43</v>
      </c>
      <c r="N69" s="11" t="s">
        <v>64</v>
      </c>
      <c r="O69" s="11" t="s">
        <v>45</v>
      </c>
      <c r="P69" s="11" t="s">
        <v>612</v>
      </c>
    </row>
    <row r="70" customFormat="false" ht="85.5" hidden="false" customHeight="true" outlineLevel="0" collapsed="false">
      <c r="A70" s="9" t="s">
        <v>613</v>
      </c>
      <c r="B70" s="9" t="s">
        <v>430</v>
      </c>
      <c r="C70" s="9" t="s">
        <v>614</v>
      </c>
      <c r="D70" s="9" t="s">
        <v>136</v>
      </c>
      <c r="E70" s="9" t="s">
        <v>188</v>
      </c>
      <c r="F70" s="9" t="s">
        <v>615</v>
      </c>
      <c r="G70" s="9" t="s">
        <v>616</v>
      </c>
      <c r="H70" s="9" t="s">
        <v>617</v>
      </c>
      <c r="I70" s="9" t="s">
        <v>618</v>
      </c>
      <c r="J70" s="9" t="s">
        <v>619</v>
      </c>
      <c r="K70" s="10" t="s">
        <v>25</v>
      </c>
      <c r="L70" s="9" t="s">
        <v>620</v>
      </c>
      <c r="M70" s="9" t="s">
        <v>43</v>
      </c>
      <c r="N70" s="9" t="s">
        <v>64</v>
      </c>
      <c r="O70" s="9" t="s">
        <v>45</v>
      </c>
      <c r="P70" s="9" t="s">
        <v>621</v>
      </c>
    </row>
    <row r="71" customFormat="false" ht="85.5" hidden="false" customHeight="true" outlineLevel="0" collapsed="false">
      <c r="A71" s="11" t="s">
        <v>622</v>
      </c>
      <c r="B71" s="11" t="s">
        <v>623</v>
      </c>
      <c r="C71" s="11" t="s">
        <v>624</v>
      </c>
      <c r="D71" s="11" t="s">
        <v>136</v>
      </c>
      <c r="E71" s="11" t="s">
        <v>36</v>
      </c>
      <c r="F71" s="11" t="s">
        <v>625</v>
      </c>
      <c r="G71" s="11" t="s">
        <v>626</v>
      </c>
      <c r="H71" s="11" t="s">
        <v>627</v>
      </c>
      <c r="I71" s="11" t="s">
        <v>628</v>
      </c>
      <c r="J71" s="11" t="s">
        <v>629</v>
      </c>
      <c r="K71" s="12" t="s">
        <v>25</v>
      </c>
      <c r="L71" s="11" t="s">
        <v>630</v>
      </c>
      <c r="M71" s="11" t="s">
        <v>43</v>
      </c>
      <c r="N71" s="11" t="s">
        <v>54</v>
      </c>
      <c r="O71" s="11" t="s">
        <v>73</v>
      </c>
      <c r="P71" s="11" t="s">
        <v>631</v>
      </c>
    </row>
    <row r="72" customFormat="false" ht="85.5" hidden="false" customHeight="true" outlineLevel="0" collapsed="false">
      <c r="A72" s="9" t="s">
        <v>632</v>
      </c>
      <c r="B72" s="9" t="s">
        <v>623</v>
      </c>
      <c r="C72" s="9" t="s">
        <v>624</v>
      </c>
      <c r="D72" s="9" t="s">
        <v>136</v>
      </c>
      <c r="E72" s="9" t="s">
        <v>57</v>
      </c>
      <c r="F72" s="9" t="s">
        <v>633</v>
      </c>
      <c r="G72" s="9" t="s">
        <v>634</v>
      </c>
      <c r="H72" s="9" t="s">
        <v>635</v>
      </c>
      <c r="I72" s="9" t="s">
        <v>636</v>
      </c>
      <c r="J72" s="9" t="s">
        <v>637</v>
      </c>
      <c r="K72" s="10" t="s">
        <v>25</v>
      </c>
      <c r="L72" s="9" t="s">
        <v>638</v>
      </c>
      <c r="M72" s="9" t="s">
        <v>43</v>
      </c>
      <c r="N72" s="9" t="s">
        <v>54</v>
      </c>
      <c r="O72" s="9" t="s">
        <v>73</v>
      </c>
      <c r="P72" s="9" t="s">
        <v>639</v>
      </c>
    </row>
    <row r="73" customFormat="false" ht="85.5" hidden="false" customHeight="true" outlineLevel="0" collapsed="false">
      <c r="A73" s="11" t="s">
        <v>640</v>
      </c>
      <c r="B73" s="11" t="s">
        <v>623</v>
      </c>
      <c r="C73" s="11" t="s">
        <v>624</v>
      </c>
      <c r="D73" s="11" t="s">
        <v>136</v>
      </c>
      <c r="E73" s="11" t="s">
        <v>118</v>
      </c>
      <c r="F73" s="11" t="s">
        <v>641</v>
      </c>
      <c r="G73" s="11" t="s">
        <v>642</v>
      </c>
      <c r="H73" s="11" t="s">
        <v>643</v>
      </c>
      <c r="I73" s="11" t="s">
        <v>644</v>
      </c>
      <c r="J73" s="11" t="s">
        <v>645</v>
      </c>
      <c r="K73" s="12" t="s">
        <v>25</v>
      </c>
      <c r="L73" s="11" t="s">
        <v>646</v>
      </c>
      <c r="M73" s="11" t="s">
        <v>43</v>
      </c>
      <c r="N73" s="11" t="s">
        <v>64</v>
      </c>
      <c r="O73" s="11" t="s">
        <v>73</v>
      </c>
      <c r="P73" s="11" t="s">
        <v>647</v>
      </c>
    </row>
    <row r="74" customFormat="false" ht="85.5" hidden="false" customHeight="true" outlineLevel="0" collapsed="false">
      <c r="A74" s="9" t="s">
        <v>648</v>
      </c>
      <c r="B74" s="9" t="s">
        <v>623</v>
      </c>
      <c r="C74" s="9" t="s">
        <v>649</v>
      </c>
      <c r="D74" s="9" t="s">
        <v>136</v>
      </c>
      <c r="E74" s="9" t="s">
        <v>36</v>
      </c>
      <c r="F74" s="9" t="s">
        <v>650</v>
      </c>
      <c r="G74" s="9" t="s">
        <v>651</v>
      </c>
      <c r="H74" s="9" t="s">
        <v>652</v>
      </c>
      <c r="I74" s="9" t="s">
        <v>653</v>
      </c>
      <c r="J74" s="9" t="s">
        <v>654</v>
      </c>
      <c r="K74" s="10" t="s">
        <v>25</v>
      </c>
      <c r="L74" s="9" t="s">
        <v>655</v>
      </c>
      <c r="M74" s="9" t="s">
        <v>43</v>
      </c>
      <c r="N74" s="9" t="s">
        <v>54</v>
      </c>
      <c r="O74" s="9" t="s">
        <v>73</v>
      </c>
      <c r="P74" s="9" t="s">
        <v>656</v>
      </c>
    </row>
    <row r="75" customFormat="false" ht="85.5" hidden="false" customHeight="true" outlineLevel="0" collapsed="false">
      <c r="A75" s="11" t="s">
        <v>657</v>
      </c>
      <c r="B75" s="11" t="s">
        <v>623</v>
      </c>
      <c r="C75" s="11" t="s">
        <v>658</v>
      </c>
      <c r="D75" s="11" t="s">
        <v>136</v>
      </c>
      <c r="E75" s="11" t="s">
        <v>188</v>
      </c>
      <c r="F75" s="11" t="s">
        <v>659</v>
      </c>
      <c r="G75" s="11" t="s">
        <v>660</v>
      </c>
      <c r="H75" s="11" t="s">
        <v>661</v>
      </c>
      <c r="I75" s="11" t="s">
        <v>662</v>
      </c>
      <c r="J75" s="11" t="s">
        <v>663</v>
      </c>
      <c r="K75" s="12" t="s">
        <v>25</v>
      </c>
      <c r="L75" s="11" t="s">
        <v>664</v>
      </c>
      <c r="M75" s="11" t="s">
        <v>43</v>
      </c>
      <c r="N75" s="11" t="s">
        <v>54</v>
      </c>
      <c r="O75" s="11" t="s">
        <v>73</v>
      </c>
      <c r="P75" s="11" t="s">
        <v>665</v>
      </c>
    </row>
    <row r="76" customFormat="false" ht="85.5" hidden="false" customHeight="true" outlineLevel="0" collapsed="false">
      <c r="A76" s="9" t="s">
        <v>666</v>
      </c>
      <c r="B76" s="9" t="s">
        <v>623</v>
      </c>
      <c r="C76" s="9" t="s">
        <v>658</v>
      </c>
      <c r="D76" s="9" t="s">
        <v>136</v>
      </c>
      <c r="E76" s="9" t="s">
        <v>118</v>
      </c>
      <c r="F76" s="9" t="s">
        <v>667</v>
      </c>
      <c r="G76" s="9" t="s">
        <v>668</v>
      </c>
      <c r="H76" s="9" t="s">
        <v>669</v>
      </c>
      <c r="I76" s="9" t="s">
        <v>670</v>
      </c>
      <c r="J76" s="9" t="s">
        <v>671</v>
      </c>
      <c r="K76" s="10" t="s">
        <v>25</v>
      </c>
      <c r="L76" s="9" t="s">
        <v>672</v>
      </c>
      <c r="M76" s="9" t="s">
        <v>43</v>
      </c>
      <c r="N76" s="9" t="s">
        <v>54</v>
      </c>
      <c r="O76" s="9" t="s">
        <v>73</v>
      </c>
      <c r="P76" s="9" t="s">
        <v>673</v>
      </c>
    </row>
    <row r="77" customFormat="false" ht="85.5" hidden="false" customHeight="true" outlineLevel="0" collapsed="false">
      <c r="A77" s="11" t="s">
        <v>674</v>
      </c>
      <c r="B77" s="11" t="s">
        <v>623</v>
      </c>
      <c r="C77" s="11" t="s">
        <v>658</v>
      </c>
      <c r="D77" s="11" t="s">
        <v>136</v>
      </c>
      <c r="E77" s="11" t="s">
        <v>57</v>
      </c>
      <c r="F77" s="11" t="s">
        <v>675</v>
      </c>
      <c r="G77" s="11" t="s">
        <v>676</v>
      </c>
      <c r="H77" s="11" t="s">
        <v>677</v>
      </c>
      <c r="I77" s="11" t="s">
        <v>678</v>
      </c>
      <c r="J77" s="11" t="s">
        <v>679</v>
      </c>
      <c r="K77" s="12" t="s">
        <v>24</v>
      </c>
      <c r="L77" s="11" t="s">
        <v>680</v>
      </c>
      <c r="M77" s="11" t="s">
        <v>43</v>
      </c>
      <c r="N77" s="11" t="s">
        <v>54</v>
      </c>
      <c r="O77" s="11" t="s">
        <v>73</v>
      </c>
      <c r="P77" s="11" t="s">
        <v>681</v>
      </c>
    </row>
    <row r="78" customFormat="false" ht="85.5" hidden="false" customHeight="true" outlineLevel="0" collapsed="false">
      <c r="A78" s="9" t="s">
        <v>682</v>
      </c>
      <c r="B78" s="9" t="s">
        <v>623</v>
      </c>
      <c r="C78" s="9" t="s">
        <v>658</v>
      </c>
      <c r="D78" s="9" t="s">
        <v>136</v>
      </c>
      <c r="E78" s="9" t="s">
        <v>118</v>
      </c>
      <c r="F78" s="9" t="s">
        <v>683</v>
      </c>
      <c r="G78" s="9" t="s">
        <v>684</v>
      </c>
      <c r="H78" s="9" t="s">
        <v>685</v>
      </c>
      <c r="I78" s="9" t="s">
        <v>686</v>
      </c>
      <c r="J78" s="9" t="s">
        <v>687</v>
      </c>
      <c r="K78" s="10" t="s">
        <v>25</v>
      </c>
      <c r="L78" s="9" t="s">
        <v>688</v>
      </c>
      <c r="M78" s="9" t="s">
        <v>43</v>
      </c>
      <c r="N78" s="9" t="s">
        <v>54</v>
      </c>
      <c r="O78" s="9" t="s">
        <v>73</v>
      </c>
      <c r="P78" s="9" t="s">
        <v>689</v>
      </c>
    </row>
    <row r="79" customFormat="false" ht="85.5" hidden="false" customHeight="true" outlineLevel="0" collapsed="false">
      <c r="A79" s="11" t="s">
        <v>690</v>
      </c>
      <c r="B79" s="11" t="s">
        <v>623</v>
      </c>
      <c r="C79" s="11" t="s">
        <v>691</v>
      </c>
      <c r="D79" s="11" t="s">
        <v>136</v>
      </c>
      <c r="E79" s="11" t="s">
        <v>57</v>
      </c>
      <c r="F79" s="11" t="s">
        <v>692</v>
      </c>
      <c r="G79" s="11" t="s">
        <v>693</v>
      </c>
      <c r="H79" s="11" t="s">
        <v>694</v>
      </c>
      <c r="I79" s="11" t="s">
        <v>695</v>
      </c>
      <c r="J79" s="11" t="s">
        <v>696</v>
      </c>
      <c r="K79" s="12" t="s">
        <v>25</v>
      </c>
      <c r="L79" s="11" t="s">
        <v>697</v>
      </c>
      <c r="M79" s="11" t="s">
        <v>43</v>
      </c>
      <c r="N79" s="11" t="s">
        <v>64</v>
      </c>
      <c r="O79" s="11" t="s">
        <v>73</v>
      </c>
      <c r="P79" s="11" t="s">
        <v>698</v>
      </c>
    </row>
    <row r="80" customFormat="false" ht="85.5" hidden="false" customHeight="true" outlineLevel="0" collapsed="false">
      <c r="A80" s="9" t="s">
        <v>699</v>
      </c>
      <c r="B80" s="9" t="s">
        <v>623</v>
      </c>
      <c r="C80" s="9" t="s">
        <v>700</v>
      </c>
      <c r="D80" s="9" t="s">
        <v>136</v>
      </c>
      <c r="E80" s="9" t="s">
        <v>118</v>
      </c>
      <c r="F80" s="9" t="s">
        <v>701</v>
      </c>
      <c r="G80" s="9" t="s">
        <v>702</v>
      </c>
      <c r="H80" s="9" t="s">
        <v>703</v>
      </c>
      <c r="I80" s="9" t="s">
        <v>704</v>
      </c>
      <c r="J80" s="9" t="s">
        <v>705</v>
      </c>
      <c r="K80" s="10" t="s">
        <v>24</v>
      </c>
      <c r="L80" s="9" t="s">
        <v>706</v>
      </c>
      <c r="M80" s="9" t="s">
        <v>43</v>
      </c>
      <c r="N80" s="9" t="s">
        <v>54</v>
      </c>
      <c r="O80" s="9" t="s">
        <v>73</v>
      </c>
      <c r="P80" s="9" t="s">
        <v>707</v>
      </c>
    </row>
    <row r="81" customFormat="false" ht="85.5" hidden="false" customHeight="true" outlineLevel="0" collapsed="false">
      <c r="A81" s="11" t="s">
        <v>708</v>
      </c>
      <c r="B81" s="11" t="s">
        <v>623</v>
      </c>
      <c r="C81" s="11" t="s">
        <v>709</v>
      </c>
      <c r="D81" s="11" t="s">
        <v>136</v>
      </c>
      <c r="E81" s="11" t="s">
        <v>57</v>
      </c>
      <c r="F81" s="11" t="s">
        <v>710</v>
      </c>
      <c r="G81" s="11" t="s">
        <v>711</v>
      </c>
      <c r="H81" s="11" t="s">
        <v>712</v>
      </c>
      <c r="I81" s="11" t="s">
        <v>713</v>
      </c>
      <c r="J81" s="11" t="s">
        <v>714</v>
      </c>
      <c r="K81" s="12" t="s">
        <v>25</v>
      </c>
      <c r="L81" s="11" t="s">
        <v>715</v>
      </c>
      <c r="M81" s="11" t="s">
        <v>43</v>
      </c>
      <c r="N81" s="11" t="s">
        <v>64</v>
      </c>
      <c r="O81" s="11" t="s">
        <v>73</v>
      </c>
      <c r="P81" s="11" t="s">
        <v>716</v>
      </c>
    </row>
    <row r="82" customFormat="false" ht="85.5" hidden="false" customHeight="true" outlineLevel="0" collapsed="false">
      <c r="A82" s="9" t="s">
        <v>717</v>
      </c>
      <c r="B82" s="9" t="s">
        <v>623</v>
      </c>
      <c r="C82" s="9" t="s">
        <v>718</v>
      </c>
      <c r="D82" s="9" t="s">
        <v>136</v>
      </c>
      <c r="E82" s="9" t="s">
        <v>118</v>
      </c>
      <c r="F82" s="9" t="s">
        <v>719</v>
      </c>
      <c r="G82" s="9" t="s">
        <v>720</v>
      </c>
      <c r="H82" s="9" t="s">
        <v>721</v>
      </c>
      <c r="I82" s="9" t="s">
        <v>722</v>
      </c>
      <c r="J82" s="9" t="s">
        <v>723</v>
      </c>
      <c r="K82" s="10" t="s">
        <v>25</v>
      </c>
      <c r="L82" s="9" t="s">
        <v>724</v>
      </c>
      <c r="M82" s="9" t="s">
        <v>43</v>
      </c>
      <c r="N82" s="9" t="s">
        <v>64</v>
      </c>
      <c r="O82" s="9" t="s">
        <v>73</v>
      </c>
      <c r="P82" s="9" t="s">
        <v>725</v>
      </c>
    </row>
    <row r="83" customFormat="false" ht="85.5" hidden="false" customHeight="true" outlineLevel="0" collapsed="false">
      <c r="A83" s="11" t="s">
        <v>726</v>
      </c>
      <c r="B83" s="11" t="s">
        <v>623</v>
      </c>
      <c r="C83" s="11" t="s">
        <v>727</v>
      </c>
      <c r="D83" s="11" t="s">
        <v>136</v>
      </c>
      <c r="E83" s="11" t="s">
        <v>57</v>
      </c>
      <c r="F83" s="11" t="s">
        <v>728</v>
      </c>
      <c r="G83" s="11" t="s">
        <v>729</v>
      </c>
      <c r="H83" s="11" t="s">
        <v>730</v>
      </c>
      <c r="I83" s="11" t="s">
        <v>731</v>
      </c>
      <c r="J83" s="11" t="s">
        <v>732</v>
      </c>
      <c r="K83" s="12" t="s">
        <v>25</v>
      </c>
      <c r="L83" s="11" t="s">
        <v>733</v>
      </c>
      <c r="M83" s="11" t="s">
        <v>43</v>
      </c>
      <c r="N83" s="11" t="s">
        <v>54</v>
      </c>
      <c r="O83" s="11" t="s">
        <v>73</v>
      </c>
      <c r="P83" s="11" t="s">
        <v>734</v>
      </c>
    </row>
    <row r="84" customFormat="false" ht="85.5" hidden="false" customHeight="true" outlineLevel="0" collapsed="false">
      <c r="A84" s="9" t="s">
        <v>735</v>
      </c>
      <c r="B84" s="9" t="s">
        <v>623</v>
      </c>
      <c r="C84" s="9" t="s">
        <v>736</v>
      </c>
      <c r="D84" s="9" t="s">
        <v>35</v>
      </c>
      <c r="E84" s="9" t="s">
        <v>36</v>
      </c>
      <c r="F84" s="9" t="s">
        <v>737</v>
      </c>
      <c r="G84" s="9" t="s">
        <v>738</v>
      </c>
      <c r="H84" s="9" t="s">
        <v>739</v>
      </c>
      <c r="I84" s="9" t="s">
        <v>740</v>
      </c>
      <c r="J84" s="9" t="s">
        <v>524</v>
      </c>
      <c r="K84" s="10" t="s">
        <v>25</v>
      </c>
      <c r="L84" s="9" t="s">
        <v>741</v>
      </c>
      <c r="M84" s="9" t="s">
        <v>43</v>
      </c>
      <c r="N84" s="9" t="s">
        <v>44</v>
      </c>
      <c r="O84" s="9" t="s">
        <v>45</v>
      </c>
      <c r="P84" s="9" t="s">
        <v>742</v>
      </c>
    </row>
    <row r="85" customFormat="false" ht="85.5" hidden="false" customHeight="true" outlineLevel="0" collapsed="false">
      <c r="A85" s="11" t="s">
        <v>743</v>
      </c>
      <c r="B85" s="11" t="s">
        <v>623</v>
      </c>
      <c r="C85" s="11" t="s">
        <v>744</v>
      </c>
      <c r="D85" s="11" t="s">
        <v>35</v>
      </c>
      <c r="E85" s="11" t="s">
        <v>36</v>
      </c>
      <c r="F85" s="11" t="s">
        <v>745</v>
      </c>
      <c r="G85" s="11" t="s">
        <v>746</v>
      </c>
      <c r="H85" s="11" t="s">
        <v>747</v>
      </c>
      <c r="I85" s="11" t="s">
        <v>748</v>
      </c>
      <c r="J85" s="11" t="s">
        <v>749</v>
      </c>
      <c r="K85" s="12" t="s">
        <v>25</v>
      </c>
      <c r="L85" s="11" t="s">
        <v>750</v>
      </c>
      <c r="M85" s="11" t="s">
        <v>43</v>
      </c>
      <c r="N85" s="11" t="s">
        <v>44</v>
      </c>
      <c r="O85" s="11" t="s">
        <v>73</v>
      </c>
      <c r="P85" s="11" t="s">
        <v>751</v>
      </c>
    </row>
    <row r="86" customFormat="false" ht="85.5" hidden="false" customHeight="true" outlineLevel="0" collapsed="false">
      <c r="A86" s="9" t="s">
        <v>752</v>
      </c>
      <c r="B86" s="9" t="s">
        <v>623</v>
      </c>
      <c r="C86" s="9" t="s">
        <v>753</v>
      </c>
      <c r="D86" s="9" t="s">
        <v>35</v>
      </c>
      <c r="E86" s="9" t="s">
        <v>188</v>
      </c>
      <c r="F86" s="9" t="s">
        <v>754</v>
      </c>
      <c r="G86" s="9" t="s">
        <v>755</v>
      </c>
      <c r="H86" s="9" t="s">
        <v>756</v>
      </c>
      <c r="I86" s="9" t="s">
        <v>757</v>
      </c>
      <c r="J86" s="9" t="s">
        <v>758</v>
      </c>
      <c r="K86" s="10" t="s">
        <v>26</v>
      </c>
      <c r="L86" s="9" t="s">
        <v>759</v>
      </c>
      <c r="M86" s="9" t="s">
        <v>43</v>
      </c>
      <c r="N86" s="9" t="s">
        <v>64</v>
      </c>
      <c r="O86" s="9" t="s">
        <v>45</v>
      </c>
      <c r="P86" s="9" t="s">
        <v>760</v>
      </c>
    </row>
    <row r="87" customFormat="false" ht="85.5" hidden="false" customHeight="true" outlineLevel="0" collapsed="false">
      <c r="A87" s="11" t="s">
        <v>761</v>
      </c>
      <c r="B87" s="11" t="s">
        <v>623</v>
      </c>
      <c r="C87" s="11" t="s">
        <v>753</v>
      </c>
      <c r="D87" s="11" t="s">
        <v>35</v>
      </c>
      <c r="E87" s="11" t="s">
        <v>57</v>
      </c>
      <c r="F87" s="11" t="s">
        <v>762</v>
      </c>
      <c r="G87" s="11" t="s">
        <v>763</v>
      </c>
      <c r="H87" s="11" t="s">
        <v>764</v>
      </c>
      <c r="I87" s="11" t="s">
        <v>765</v>
      </c>
      <c r="J87" s="11" t="s">
        <v>766</v>
      </c>
      <c r="K87" s="12" t="s">
        <v>24</v>
      </c>
      <c r="L87" s="11" t="s">
        <v>767</v>
      </c>
      <c r="M87" s="11" t="s">
        <v>43</v>
      </c>
      <c r="N87" s="11" t="s">
        <v>64</v>
      </c>
      <c r="O87" s="11" t="s">
        <v>73</v>
      </c>
      <c r="P87" s="11" t="s">
        <v>768</v>
      </c>
    </row>
    <row r="88" customFormat="false" ht="85.5" hidden="false" customHeight="true" outlineLevel="0" collapsed="false">
      <c r="A88" s="9" t="s">
        <v>769</v>
      </c>
      <c r="B88" s="9" t="s">
        <v>623</v>
      </c>
      <c r="C88" s="9" t="s">
        <v>770</v>
      </c>
      <c r="D88" s="9" t="s">
        <v>35</v>
      </c>
      <c r="E88" s="9" t="s">
        <v>36</v>
      </c>
      <c r="F88" s="9" t="s">
        <v>771</v>
      </c>
      <c r="G88" s="9" t="s">
        <v>772</v>
      </c>
      <c r="H88" s="9" t="s">
        <v>773</v>
      </c>
      <c r="I88" s="9" t="s">
        <v>774</v>
      </c>
      <c r="J88" s="9" t="s">
        <v>484</v>
      </c>
      <c r="K88" s="10" t="s">
        <v>25</v>
      </c>
      <c r="L88" s="9" t="s">
        <v>775</v>
      </c>
      <c r="M88" s="9" t="s">
        <v>43</v>
      </c>
      <c r="N88" s="9" t="s">
        <v>54</v>
      </c>
      <c r="O88" s="9" t="s">
        <v>73</v>
      </c>
      <c r="P88" s="9" t="s">
        <v>776</v>
      </c>
    </row>
    <row r="89" customFormat="false" ht="85.5" hidden="false" customHeight="true" outlineLevel="0" collapsed="false">
      <c r="A89" s="11" t="s">
        <v>777</v>
      </c>
      <c r="B89" s="11" t="s">
        <v>623</v>
      </c>
      <c r="C89" s="11" t="s">
        <v>778</v>
      </c>
      <c r="D89" s="11" t="s">
        <v>136</v>
      </c>
      <c r="E89" s="11" t="s">
        <v>118</v>
      </c>
      <c r="F89" s="11" t="s">
        <v>779</v>
      </c>
      <c r="G89" s="11" t="s">
        <v>780</v>
      </c>
      <c r="H89" s="11" t="s">
        <v>781</v>
      </c>
      <c r="I89" s="11" t="s">
        <v>782</v>
      </c>
      <c r="J89" s="11" t="s">
        <v>783</v>
      </c>
      <c r="K89" s="12" t="s">
        <v>25</v>
      </c>
      <c r="L89" s="11" t="s">
        <v>784</v>
      </c>
      <c r="M89" s="11" t="s">
        <v>43</v>
      </c>
      <c r="N89" s="11" t="s">
        <v>54</v>
      </c>
      <c r="O89" s="11" t="s">
        <v>73</v>
      </c>
      <c r="P89" s="11" t="s">
        <v>785</v>
      </c>
    </row>
    <row r="90" customFormat="false" ht="85.5" hidden="false" customHeight="true" outlineLevel="0" collapsed="false">
      <c r="A90" s="9" t="s">
        <v>786</v>
      </c>
      <c r="B90" s="9" t="s">
        <v>623</v>
      </c>
      <c r="C90" s="9" t="s">
        <v>778</v>
      </c>
      <c r="D90" s="9" t="s">
        <v>136</v>
      </c>
      <c r="E90" s="9" t="s">
        <v>389</v>
      </c>
      <c r="F90" s="9" t="s">
        <v>787</v>
      </c>
      <c r="G90" s="9" t="s">
        <v>788</v>
      </c>
      <c r="H90" s="9" t="s">
        <v>789</v>
      </c>
      <c r="I90" s="9" t="s">
        <v>790</v>
      </c>
      <c r="J90" s="9" t="s">
        <v>791</v>
      </c>
      <c r="K90" s="10" t="s">
        <v>25</v>
      </c>
      <c r="L90" s="9" t="s">
        <v>792</v>
      </c>
      <c r="M90" s="9" t="s">
        <v>549</v>
      </c>
      <c r="N90" s="9" t="s">
        <v>793</v>
      </c>
      <c r="O90" s="9" t="s">
        <v>45</v>
      </c>
      <c r="P90" s="9" t="s">
        <v>794</v>
      </c>
    </row>
    <row r="91" customFormat="false" ht="85.5" hidden="false" customHeight="true" outlineLevel="0" collapsed="false">
      <c r="A91" s="11" t="s">
        <v>795</v>
      </c>
      <c r="B91" s="11" t="s">
        <v>623</v>
      </c>
      <c r="C91" s="11" t="s">
        <v>778</v>
      </c>
      <c r="D91" s="11" t="s">
        <v>136</v>
      </c>
      <c r="E91" s="11" t="s">
        <v>57</v>
      </c>
      <c r="F91" s="11" t="s">
        <v>796</v>
      </c>
      <c r="G91" s="11" t="s">
        <v>797</v>
      </c>
      <c r="H91" s="11" t="s">
        <v>798</v>
      </c>
      <c r="I91" s="11" t="s">
        <v>799</v>
      </c>
      <c r="J91" s="11" t="s">
        <v>800</v>
      </c>
      <c r="K91" s="12" t="s">
        <v>25</v>
      </c>
      <c r="L91" s="11" t="s">
        <v>801</v>
      </c>
      <c r="M91" s="11" t="s">
        <v>549</v>
      </c>
      <c r="N91" s="11" t="s">
        <v>54</v>
      </c>
      <c r="O91" s="11" t="s">
        <v>73</v>
      </c>
      <c r="P91" s="11" t="s">
        <v>802</v>
      </c>
    </row>
    <row r="92" customFormat="false" ht="85.5" hidden="false" customHeight="true" outlineLevel="0" collapsed="false">
      <c r="A92" s="9" t="s">
        <v>803</v>
      </c>
      <c r="B92" s="9" t="s">
        <v>623</v>
      </c>
      <c r="C92" s="9" t="s">
        <v>804</v>
      </c>
      <c r="D92" s="9" t="s">
        <v>136</v>
      </c>
      <c r="E92" s="9" t="s">
        <v>36</v>
      </c>
      <c r="F92" s="9" t="s">
        <v>805</v>
      </c>
      <c r="G92" s="9" t="s">
        <v>806</v>
      </c>
      <c r="H92" s="9" t="s">
        <v>807</v>
      </c>
      <c r="I92" s="9" t="s">
        <v>808</v>
      </c>
      <c r="J92" s="9" t="s">
        <v>809</v>
      </c>
      <c r="K92" s="10" t="s">
        <v>25</v>
      </c>
      <c r="L92" s="9" t="s">
        <v>810</v>
      </c>
      <c r="M92" s="9" t="s">
        <v>43</v>
      </c>
      <c r="N92" s="9" t="s">
        <v>54</v>
      </c>
      <c r="O92" s="9" t="s">
        <v>73</v>
      </c>
      <c r="P92" s="9" t="s">
        <v>811</v>
      </c>
    </row>
    <row r="93" customFormat="false" ht="85.5" hidden="false" customHeight="true" outlineLevel="0" collapsed="false">
      <c r="A93" s="11" t="s">
        <v>812</v>
      </c>
      <c r="B93" s="11" t="s">
        <v>623</v>
      </c>
      <c r="C93" s="11" t="s">
        <v>813</v>
      </c>
      <c r="D93" s="11" t="s">
        <v>136</v>
      </c>
      <c r="E93" s="11" t="s">
        <v>118</v>
      </c>
      <c r="F93" s="11" t="s">
        <v>814</v>
      </c>
      <c r="G93" s="11" t="s">
        <v>815</v>
      </c>
      <c r="H93" s="11" t="s">
        <v>816</v>
      </c>
      <c r="I93" s="11" t="s">
        <v>817</v>
      </c>
      <c r="J93" s="11" t="s">
        <v>818</v>
      </c>
      <c r="K93" s="12" t="s">
        <v>25</v>
      </c>
      <c r="L93" s="11" t="s">
        <v>819</v>
      </c>
      <c r="M93" s="11" t="s">
        <v>43</v>
      </c>
      <c r="N93" s="11" t="s">
        <v>54</v>
      </c>
      <c r="O93" s="11" t="s">
        <v>73</v>
      </c>
      <c r="P93" s="11" t="s">
        <v>820</v>
      </c>
    </row>
    <row r="94" customFormat="false" ht="85.5" hidden="false" customHeight="true" outlineLevel="0" collapsed="false">
      <c r="A94" s="9" t="s">
        <v>821</v>
      </c>
      <c r="B94" s="9" t="s">
        <v>623</v>
      </c>
      <c r="C94" s="9" t="s">
        <v>822</v>
      </c>
      <c r="D94" s="9" t="s">
        <v>136</v>
      </c>
      <c r="E94" s="9" t="s">
        <v>57</v>
      </c>
      <c r="F94" s="9" t="s">
        <v>823</v>
      </c>
      <c r="G94" s="9" t="s">
        <v>824</v>
      </c>
      <c r="H94" s="9" t="s">
        <v>825</v>
      </c>
      <c r="I94" s="9" t="s">
        <v>826</v>
      </c>
      <c r="J94" s="9" t="s">
        <v>827</v>
      </c>
      <c r="K94" s="10" t="s">
        <v>25</v>
      </c>
      <c r="L94" s="9" t="s">
        <v>828</v>
      </c>
      <c r="M94" s="9" t="s">
        <v>43</v>
      </c>
      <c r="N94" s="9" t="s">
        <v>64</v>
      </c>
      <c r="O94" s="9" t="s">
        <v>45</v>
      </c>
      <c r="P94" s="9" t="s">
        <v>829</v>
      </c>
    </row>
    <row r="95" customFormat="false" ht="85.5" hidden="false" customHeight="true" outlineLevel="0" collapsed="false">
      <c r="A95" s="11" t="s">
        <v>830</v>
      </c>
      <c r="B95" s="11" t="s">
        <v>623</v>
      </c>
      <c r="C95" s="11" t="s">
        <v>831</v>
      </c>
      <c r="D95" s="11" t="s">
        <v>35</v>
      </c>
      <c r="E95" s="11" t="s">
        <v>389</v>
      </c>
      <c r="F95" s="11" t="s">
        <v>832</v>
      </c>
      <c r="G95" s="11" t="s">
        <v>833</v>
      </c>
      <c r="H95" s="11" t="s">
        <v>834</v>
      </c>
      <c r="I95" s="11" t="s">
        <v>835</v>
      </c>
      <c r="J95" s="11" t="s">
        <v>836</v>
      </c>
      <c r="K95" s="12" t="s">
        <v>24</v>
      </c>
      <c r="L95" s="11" t="s">
        <v>837</v>
      </c>
      <c r="M95" s="11" t="s">
        <v>549</v>
      </c>
      <c r="N95" s="11" t="s">
        <v>793</v>
      </c>
      <c r="O95" s="11" t="s">
        <v>45</v>
      </c>
      <c r="P95" s="11" t="s">
        <v>838</v>
      </c>
    </row>
    <row r="96" customFormat="false" ht="85.5" hidden="false" customHeight="true" outlineLevel="0" collapsed="false">
      <c r="A96" s="9" t="s">
        <v>839</v>
      </c>
      <c r="B96" s="9" t="s">
        <v>623</v>
      </c>
      <c r="C96" s="9" t="s">
        <v>840</v>
      </c>
      <c r="D96" s="9" t="s">
        <v>35</v>
      </c>
      <c r="E96" s="9" t="s">
        <v>118</v>
      </c>
      <c r="F96" s="9" t="s">
        <v>841</v>
      </c>
      <c r="G96" s="9" t="s">
        <v>842</v>
      </c>
      <c r="H96" s="9" t="s">
        <v>843</v>
      </c>
      <c r="I96" s="9" t="s">
        <v>844</v>
      </c>
      <c r="J96" s="9" t="s">
        <v>845</v>
      </c>
      <c r="K96" s="10" t="s">
        <v>25</v>
      </c>
      <c r="L96" s="9" t="s">
        <v>846</v>
      </c>
      <c r="M96" s="9" t="s">
        <v>43</v>
      </c>
      <c r="N96" s="9" t="s">
        <v>64</v>
      </c>
      <c r="O96" s="9" t="s">
        <v>73</v>
      </c>
      <c r="P96" s="9" t="s">
        <v>847</v>
      </c>
    </row>
    <row r="97" customFormat="false" ht="85.5" hidden="false" customHeight="true" outlineLevel="0" collapsed="false">
      <c r="A97" s="11" t="s">
        <v>848</v>
      </c>
      <c r="B97" s="11" t="s">
        <v>623</v>
      </c>
      <c r="C97" s="11" t="s">
        <v>840</v>
      </c>
      <c r="D97" s="11" t="s">
        <v>35</v>
      </c>
      <c r="E97" s="11" t="s">
        <v>188</v>
      </c>
      <c r="F97" s="11" t="s">
        <v>849</v>
      </c>
      <c r="G97" s="11" t="s">
        <v>850</v>
      </c>
      <c r="H97" s="11" t="s">
        <v>851</v>
      </c>
      <c r="I97" s="11" t="s">
        <v>852</v>
      </c>
      <c r="J97" s="11" t="s">
        <v>853</v>
      </c>
      <c r="K97" s="12" t="s">
        <v>25</v>
      </c>
      <c r="L97" s="11" t="s">
        <v>854</v>
      </c>
      <c r="M97" s="11" t="s">
        <v>43</v>
      </c>
      <c r="N97" s="11" t="s">
        <v>44</v>
      </c>
      <c r="O97" s="11" t="s">
        <v>45</v>
      </c>
      <c r="P97" s="11" t="s">
        <v>855</v>
      </c>
    </row>
    <row r="98" customFormat="false" ht="85.5" hidden="false" customHeight="true" outlineLevel="0" collapsed="false">
      <c r="A98" s="9" t="s">
        <v>856</v>
      </c>
      <c r="B98" s="9" t="s">
        <v>623</v>
      </c>
      <c r="C98" s="9" t="s">
        <v>804</v>
      </c>
      <c r="D98" s="9" t="s">
        <v>136</v>
      </c>
      <c r="E98" s="9" t="s">
        <v>188</v>
      </c>
      <c r="F98" s="9" t="s">
        <v>857</v>
      </c>
      <c r="G98" s="9" t="s">
        <v>858</v>
      </c>
      <c r="H98" s="9" t="s">
        <v>859</v>
      </c>
      <c r="I98" s="9" t="s">
        <v>860</v>
      </c>
      <c r="J98" s="9" t="s">
        <v>861</v>
      </c>
      <c r="K98" s="10" t="s">
        <v>25</v>
      </c>
      <c r="L98" s="9" t="s">
        <v>862</v>
      </c>
      <c r="M98" s="9" t="s">
        <v>43</v>
      </c>
      <c r="N98" s="9" t="s">
        <v>54</v>
      </c>
      <c r="O98" s="9" t="s">
        <v>45</v>
      </c>
      <c r="P98" s="9" t="s">
        <v>863</v>
      </c>
    </row>
    <row r="99" customFormat="false" ht="85.5" hidden="false" customHeight="true" outlineLevel="0" collapsed="false">
      <c r="A99" s="11" t="s">
        <v>864</v>
      </c>
      <c r="B99" s="11" t="s">
        <v>865</v>
      </c>
      <c r="C99" s="11" t="s">
        <v>866</v>
      </c>
      <c r="D99" s="11" t="s">
        <v>35</v>
      </c>
      <c r="E99" s="11" t="s">
        <v>36</v>
      </c>
      <c r="F99" s="11" t="s">
        <v>867</v>
      </c>
      <c r="G99" s="11" t="s">
        <v>868</v>
      </c>
      <c r="H99" s="11" t="s">
        <v>869</v>
      </c>
      <c r="I99" s="11" t="s">
        <v>870</v>
      </c>
      <c r="J99" s="11" t="s">
        <v>871</v>
      </c>
      <c r="K99" s="12" t="s">
        <v>25</v>
      </c>
      <c r="L99" s="11" t="s">
        <v>872</v>
      </c>
      <c r="M99" s="11" t="s">
        <v>43</v>
      </c>
      <c r="N99" s="11" t="s">
        <v>64</v>
      </c>
      <c r="O99" s="11" t="s">
        <v>73</v>
      </c>
      <c r="P99" s="11" t="s">
        <v>873</v>
      </c>
    </row>
    <row r="100" customFormat="false" ht="85.5" hidden="false" customHeight="true" outlineLevel="0" collapsed="false">
      <c r="A100" s="9" t="s">
        <v>874</v>
      </c>
      <c r="B100" s="9" t="s">
        <v>865</v>
      </c>
      <c r="C100" s="9" t="s">
        <v>866</v>
      </c>
      <c r="D100" s="9" t="s">
        <v>35</v>
      </c>
      <c r="E100" s="9" t="s">
        <v>57</v>
      </c>
      <c r="F100" s="9" t="s">
        <v>875</v>
      </c>
      <c r="G100" s="9" t="s">
        <v>876</v>
      </c>
      <c r="H100" s="9" t="s">
        <v>877</v>
      </c>
      <c r="I100" s="9" t="s">
        <v>878</v>
      </c>
      <c r="J100" s="9" t="s">
        <v>879</v>
      </c>
      <c r="K100" s="10" t="s">
        <v>25</v>
      </c>
      <c r="L100" s="9" t="s">
        <v>880</v>
      </c>
      <c r="M100" s="9" t="s">
        <v>43</v>
      </c>
      <c r="N100" s="9" t="s">
        <v>54</v>
      </c>
      <c r="O100" s="9" t="s">
        <v>73</v>
      </c>
      <c r="P100" s="9" t="s">
        <v>881</v>
      </c>
    </row>
    <row r="101" customFormat="false" ht="85.5" hidden="false" customHeight="true" outlineLevel="0" collapsed="false">
      <c r="A101" s="11" t="s">
        <v>882</v>
      </c>
      <c r="B101" s="11" t="s">
        <v>865</v>
      </c>
      <c r="C101" s="11" t="s">
        <v>866</v>
      </c>
      <c r="D101" s="11" t="s">
        <v>35</v>
      </c>
      <c r="E101" s="11" t="s">
        <v>118</v>
      </c>
      <c r="F101" s="11" t="s">
        <v>883</v>
      </c>
      <c r="G101" s="11" t="s">
        <v>884</v>
      </c>
      <c r="H101" s="11" t="s">
        <v>885</v>
      </c>
      <c r="I101" s="11" t="s">
        <v>886</v>
      </c>
      <c r="J101" s="11" t="s">
        <v>887</v>
      </c>
      <c r="K101" s="12" t="s">
        <v>25</v>
      </c>
      <c r="L101" s="11" t="s">
        <v>888</v>
      </c>
      <c r="M101" s="11" t="s">
        <v>43</v>
      </c>
      <c r="N101" s="11" t="s">
        <v>64</v>
      </c>
      <c r="O101" s="11" t="s">
        <v>73</v>
      </c>
      <c r="P101" s="11" t="s">
        <v>889</v>
      </c>
    </row>
    <row r="102" customFormat="false" ht="85.5" hidden="false" customHeight="true" outlineLevel="0" collapsed="false">
      <c r="A102" s="9" t="s">
        <v>890</v>
      </c>
      <c r="B102" s="9" t="s">
        <v>865</v>
      </c>
      <c r="C102" s="9" t="s">
        <v>866</v>
      </c>
      <c r="D102" s="9" t="s">
        <v>35</v>
      </c>
      <c r="E102" s="9" t="s">
        <v>118</v>
      </c>
      <c r="F102" s="9" t="s">
        <v>891</v>
      </c>
      <c r="G102" s="9" t="s">
        <v>892</v>
      </c>
      <c r="H102" s="9" t="s">
        <v>893</v>
      </c>
      <c r="I102" s="9" t="s">
        <v>894</v>
      </c>
      <c r="J102" s="9" t="s">
        <v>895</v>
      </c>
      <c r="K102" s="10" t="s">
        <v>25</v>
      </c>
      <c r="L102" s="9" t="s">
        <v>896</v>
      </c>
      <c r="M102" s="9" t="s">
        <v>43</v>
      </c>
      <c r="N102" s="9" t="s">
        <v>44</v>
      </c>
      <c r="O102" s="9" t="s">
        <v>73</v>
      </c>
      <c r="P102" s="9" t="s">
        <v>897</v>
      </c>
    </row>
    <row r="103" customFormat="false" ht="85.5" hidden="false" customHeight="true" outlineLevel="0" collapsed="false">
      <c r="A103" s="11" t="s">
        <v>898</v>
      </c>
      <c r="B103" s="11" t="s">
        <v>865</v>
      </c>
      <c r="C103" s="11" t="s">
        <v>866</v>
      </c>
      <c r="D103" s="11" t="s">
        <v>35</v>
      </c>
      <c r="E103" s="11" t="s">
        <v>57</v>
      </c>
      <c r="F103" s="11" t="s">
        <v>899</v>
      </c>
      <c r="G103" s="11" t="s">
        <v>900</v>
      </c>
      <c r="H103" s="11" t="s">
        <v>901</v>
      </c>
      <c r="I103" s="11" t="s">
        <v>902</v>
      </c>
      <c r="J103" s="11" t="s">
        <v>903</v>
      </c>
      <c r="K103" s="12" t="s">
        <v>25</v>
      </c>
      <c r="L103" s="11" t="s">
        <v>904</v>
      </c>
      <c r="M103" s="11" t="s">
        <v>43</v>
      </c>
      <c r="N103" s="11" t="s">
        <v>64</v>
      </c>
      <c r="O103" s="11" t="s">
        <v>73</v>
      </c>
      <c r="P103" s="11" t="s">
        <v>873</v>
      </c>
    </row>
    <row r="104" customFormat="false" ht="85.5" hidden="false" customHeight="true" outlineLevel="0" collapsed="false">
      <c r="A104" s="9" t="s">
        <v>905</v>
      </c>
      <c r="B104" s="9" t="s">
        <v>865</v>
      </c>
      <c r="C104" s="9" t="s">
        <v>906</v>
      </c>
      <c r="D104" s="9" t="s">
        <v>35</v>
      </c>
      <c r="E104" s="9" t="s">
        <v>36</v>
      </c>
      <c r="F104" s="9" t="s">
        <v>907</v>
      </c>
      <c r="G104" s="9" t="s">
        <v>908</v>
      </c>
      <c r="H104" s="9" t="s">
        <v>909</v>
      </c>
      <c r="I104" s="9" t="s">
        <v>910</v>
      </c>
      <c r="J104" s="9" t="s">
        <v>911</v>
      </c>
      <c r="K104" s="10" t="s">
        <v>25</v>
      </c>
      <c r="L104" s="9" t="s">
        <v>912</v>
      </c>
      <c r="M104" s="9" t="s">
        <v>43</v>
      </c>
      <c r="N104" s="9" t="s">
        <v>54</v>
      </c>
      <c r="O104" s="9" t="s">
        <v>73</v>
      </c>
      <c r="P104" s="9" t="s">
        <v>913</v>
      </c>
    </row>
    <row r="105" customFormat="false" ht="85.5" hidden="false" customHeight="true" outlineLevel="0" collapsed="false">
      <c r="A105" s="11" t="s">
        <v>914</v>
      </c>
      <c r="B105" s="11" t="s">
        <v>865</v>
      </c>
      <c r="C105" s="11" t="s">
        <v>915</v>
      </c>
      <c r="D105" s="11" t="s">
        <v>35</v>
      </c>
      <c r="E105" s="11" t="s">
        <v>36</v>
      </c>
      <c r="F105" s="11" t="s">
        <v>916</v>
      </c>
      <c r="G105" s="11" t="s">
        <v>917</v>
      </c>
      <c r="H105" s="11" t="s">
        <v>918</v>
      </c>
      <c r="I105" s="11" t="s">
        <v>919</v>
      </c>
      <c r="J105" s="11" t="s">
        <v>920</v>
      </c>
      <c r="K105" s="12" t="s">
        <v>25</v>
      </c>
      <c r="L105" s="11" t="s">
        <v>921</v>
      </c>
      <c r="M105" s="11" t="s">
        <v>43</v>
      </c>
      <c r="N105" s="11" t="s">
        <v>64</v>
      </c>
      <c r="O105" s="11" t="s">
        <v>73</v>
      </c>
      <c r="P105" s="11" t="s">
        <v>922</v>
      </c>
    </row>
    <row r="106" customFormat="false" ht="85.5" hidden="false" customHeight="true" outlineLevel="0" collapsed="false">
      <c r="A106" s="9" t="s">
        <v>923</v>
      </c>
      <c r="B106" s="9" t="s">
        <v>865</v>
      </c>
      <c r="C106" s="9" t="s">
        <v>924</v>
      </c>
      <c r="D106" s="9" t="s">
        <v>35</v>
      </c>
      <c r="E106" s="9" t="s">
        <v>36</v>
      </c>
      <c r="F106" s="9" t="s">
        <v>925</v>
      </c>
      <c r="G106" s="9" t="s">
        <v>926</v>
      </c>
      <c r="H106" s="9" t="s">
        <v>927</v>
      </c>
      <c r="I106" s="9" t="s">
        <v>928</v>
      </c>
      <c r="J106" s="9" t="s">
        <v>929</v>
      </c>
      <c r="K106" s="10" t="s">
        <v>25</v>
      </c>
      <c r="L106" s="9" t="s">
        <v>930</v>
      </c>
      <c r="M106" s="9" t="s">
        <v>43</v>
      </c>
      <c r="N106" s="9" t="s">
        <v>64</v>
      </c>
      <c r="O106" s="9" t="s">
        <v>73</v>
      </c>
      <c r="P106" s="9" t="s">
        <v>931</v>
      </c>
    </row>
    <row r="107" customFormat="false" ht="85.5" hidden="false" customHeight="true" outlineLevel="0" collapsed="false">
      <c r="A107" s="11" t="s">
        <v>932</v>
      </c>
      <c r="B107" s="11" t="s">
        <v>865</v>
      </c>
      <c r="C107" s="11" t="s">
        <v>924</v>
      </c>
      <c r="D107" s="11" t="s">
        <v>35</v>
      </c>
      <c r="E107" s="11" t="s">
        <v>118</v>
      </c>
      <c r="F107" s="11" t="s">
        <v>933</v>
      </c>
      <c r="G107" s="11" t="s">
        <v>934</v>
      </c>
      <c r="H107" s="11" t="s">
        <v>935</v>
      </c>
      <c r="I107" s="11" t="s">
        <v>936</v>
      </c>
      <c r="J107" s="11" t="s">
        <v>937</v>
      </c>
      <c r="K107" s="12" t="s">
        <v>25</v>
      </c>
      <c r="L107" s="11" t="s">
        <v>938</v>
      </c>
      <c r="M107" s="11" t="s">
        <v>43</v>
      </c>
      <c r="N107" s="11" t="s">
        <v>64</v>
      </c>
      <c r="O107" s="11" t="s">
        <v>73</v>
      </c>
      <c r="P107" s="11" t="s">
        <v>939</v>
      </c>
    </row>
    <row r="108" customFormat="false" ht="85.5" hidden="false" customHeight="true" outlineLevel="0" collapsed="false">
      <c r="A108" s="9" t="s">
        <v>940</v>
      </c>
      <c r="B108" s="9" t="s">
        <v>865</v>
      </c>
      <c r="C108" s="9" t="s">
        <v>941</v>
      </c>
      <c r="D108" s="9" t="s">
        <v>35</v>
      </c>
      <c r="E108" s="9" t="s">
        <v>57</v>
      </c>
      <c r="F108" s="9" t="s">
        <v>942</v>
      </c>
      <c r="G108" s="9" t="s">
        <v>943</v>
      </c>
      <c r="H108" s="9" t="s">
        <v>944</v>
      </c>
      <c r="I108" s="9" t="s">
        <v>945</v>
      </c>
      <c r="J108" s="9" t="s">
        <v>946</v>
      </c>
      <c r="K108" s="10" t="s">
        <v>25</v>
      </c>
      <c r="L108" s="9" t="s">
        <v>947</v>
      </c>
      <c r="M108" s="9" t="s">
        <v>43</v>
      </c>
      <c r="N108" s="9" t="s">
        <v>64</v>
      </c>
      <c r="O108" s="9" t="s">
        <v>73</v>
      </c>
      <c r="P108" s="9" t="s">
        <v>948</v>
      </c>
    </row>
    <row r="109" customFormat="false" ht="85.5" hidden="false" customHeight="true" outlineLevel="0" collapsed="false">
      <c r="A109" s="11" t="s">
        <v>949</v>
      </c>
      <c r="B109" s="11" t="s">
        <v>865</v>
      </c>
      <c r="C109" s="11" t="s">
        <v>950</v>
      </c>
      <c r="D109" s="11" t="s">
        <v>136</v>
      </c>
      <c r="E109" s="11" t="s">
        <v>57</v>
      </c>
      <c r="F109" s="11" t="s">
        <v>951</v>
      </c>
      <c r="G109" s="11" t="s">
        <v>952</v>
      </c>
      <c r="H109" s="11" t="s">
        <v>953</v>
      </c>
      <c r="I109" s="11" t="s">
        <v>954</v>
      </c>
      <c r="J109" s="11" t="s">
        <v>955</v>
      </c>
      <c r="K109" s="12" t="s">
        <v>25</v>
      </c>
      <c r="L109" s="11" t="s">
        <v>956</v>
      </c>
      <c r="M109" s="11" t="s">
        <v>43</v>
      </c>
      <c r="N109" s="11" t="s">
        <v>64</v>
      </c>
      <c r="O109" s="11" t="s">
        <v>73</v>
      </c>
      <c r="P109" s="11" t="s">
        <v>957</v>
      </c>
    </row>
    <row r="110" customFormat="false" ht="85.5" hidden="false" customHeight="true" outlineLevel="0" collapsed="false">
      <c r="A110" s="9" t="s">
        <v>958</v>
      </c>
      <c r="B110" s="9" t="s">
        <v>865</v>
      </c>
      <c r="C110" s="9" t="s">
        <v>959</v>
      </c>
      <c r="D110" s="9" t="s">
        <v>136</v>
      </c>
      <c r="E110" s="9" t="s">
        <v>57</v>
      </c>
      <c r="F110" s="9" t="s">
        <v>960</v>
      </c>
      <c r="G110" s="9" t="s">
        <v>961</v>
      </c>
      <c r="H110" s="9" t="s">
        <v>962</v>
      </c>
      <c r="I110" s="9" t="s">
        <v>963</v>
      </c>
      <c r="J110" s="9" t="s">
        <v>964</v>
      </c>
      <c r="K110" s="10" t="s">
        <v>25</v>
      </c>
      <c r="L110" s="9" t="s">
        <v>965</v>
      </c>
      <c r="M110" s="9" t="s">
        <v>43</v>
      </c>
      <c r="N110" s="9" t="s">
        <v>64</v>
      </c>
      <c r="O110" s="9" t="s">
        <v>73</v>
      </c>
      <c r="P110" s="9" t="s">
        <v>957</v>
      </c>
    </row>
    <row r="111" customFormat="false" ht="85.5" hidden="false" customHeight="true" outlineLevel="0" collapsed="false">
      <c r="A111" s="11" t="s">
        <v>966</v>
      </c>
      <c r="B111" s="11" t="s">
        <v>865</v>
      </c>
      <c r="C111" s="11" t="s">
        <v>967</v>
      </c>
      <c r="D111" s="11" t="s">
        <v>35</v>
      </c>
      <c r="E111" s="11" t="s">
        <v>57</v>
      </c>
      <c r="F111" s="11" t="s">
        <v>968</v>
      </c>
      <c r="G111" s="11" t="s">
        <v>969</v>
      </c>
      <c r="H111" s="11" t="s">
        <v>970</v>
      </c>
      <c r="I111" s="11" t="s">
        <v>971</v>
      </c>
      <c r="J111" s="11" t="s">
        <v>972</v>
      </c>
      <c r="K111" s="12" t="s">
        <v>25</v>
      </c>
      <c r="L111" s="11" t="s">
        <v>973</v>
      </c>
      <c r="M111" s="11" t="s">
        <v>43</v>
      </c>
      <c r="N111" s="11" t="s">
        <v>54</v>
      </c>
      <c r="O111" s="11" t="s">
        <v>45</v>
      </c>
      <c r="P111" s="11" t="s">
        <v>974</v>
      </c>
    </row>
    <row r="112" customFormat="false" ht="85.5" hidden="false" customHeight="true" outlineLevel="0" collapsed="false">
      <c r="A112" s="9" t="s">
        <v>975</v>
      </c>
      <c r="B112" s="9" t="s">
        <v>865</v>
      </c>
      <c r="C112" s="9" t="s">
        <v>967</v>
      </c>
      <c r="D112" s="9" t="s">
        <v>35</v>
      </c>
      <c r="E112" s="9" t="s">
        <v>188</v>
      </c>
      <c r="F112" s="9" t="s">
        <v>976</v>
      </c>
      <c r="G112" s="9" t="s">
        <v>977</v>
      </c>
      <c r="H112" s="9" t="s">
        <v>978</v>
      </c>
      <c r="I112" s="9" t="s">
        <v>979</v>
      </c>
      <c r="J112" s="9" t="s">
        <v>980</v>
      </c>
      <c r="K112" s="10" t="s">
        <v>25</v>
      </c>
      <c r="L112" s="9" t="s">
        <v>981</v>
      </c>
      <c r="M112" s="9" t="s">
        <v>43</v>
      </c>
      <c r="N112" s="9" t="s">
        <v>64</v>
      </c>
      <c r="O112" s="9" t="s">
        <v>73</v>
      </c>
      <c r="P112" s="9" t="s">
        <v>982</v>
      </c>
    </row>
    <row r="113" customFormat="false" ht="85.5" hidden="false" customHeight="true" outlineLevel="0" collapsed="false">
      <c r="A113" s="11" t="s">
        <v>983</v>
      </c>
      <c r="B113" s="11" t="s">
        <v>865</v>
      </c>
      <c r="C113" s="11" t="s">
        <v>984</v>
      </c>
      <c r="D113" s="11" t="s">
        <v>35</v>
      </c>
      <c r="E113" s="11" t="s">
        <v>118</v>
      </c>
      <c r="F113" s="11" t="s">
        <v>985</v>
      </c>
      <c r="G113" s="11" t="s">
        <v>986</v>
      </c>
      <c r="H113" s="11" t="s">
        <v>987</v>
      </c>
      <c r="I113" s="11" t="s">
        <v>988</v>
      </c>
      <c r="J113" s="11" t="s">
        <v>989</v>
      </c>
      <c r="K113" s="12" t="s">
        <v>25</v>
      </c>
      <c r="L113" s="11" t="s">
        <v>990</v>
      </c>
      <c r="M113" s="11" t="s">
        <v>43</v>
      </c>
      <c r="N113" s="11" t="s">
        <v>64</v>
      </c>
      <c r="O113" s="11" t="s">
        <v>73</v>
      </c>
      <c r="P113" s="11" t="s">
        <v>982</v>
      </c>
    </row>
    <row r="114" customFormat="false" ht="85.5" hidden="false" customHeight="true" outlineLevel="0" collapsed="false">
      <c r="A114" s="9" t="s">
        <v>991</v>
      </c>
      <c r="B114" s="9" t="s">
        <v>865</v>
      </c>
      <c r="C114" s="9" t="s">
        <v>992</v>
      </c>
      <c r="D114" s="9" t="s">
        <v>35</v>
      </c>
      <c r="E114" s="9" t="s">
        <v>36</v>
      </c>
      <c r="F114" s="9" t="s">
        <v>993</v>
      </c>
      <c r="G114" s="9" t="s">
        <v>994</v>
      </c>
      <c r="H114" s="9" t="s">
        <v>995</v>
      </c>
      <c r="I114" s="9" t="s">
        <v>996</v>
      </c>
      <c r="J114" s="9" t="s">
        <v>997</v>
      </c>
      <c r="K114" s="10" t="s">
        <v>25</v>
      </c>
      <c r="L114" s="9" t="s">
        <v>998</v>
      </c>
      <c r="M114" s="9" t="s">
        <v>43</v>
      </c>
      <c r="N114" s="9" t="s">
        <v>64</v>
      </c>
      <c r="O114" s="9" t="s">
        <v>73</v>
      </c>
      <c r="P114" s="9" t="s">
        <v>982</v>
      </c>
    </row>
    <row r="115" customFormat="false" ht="85.5" hidden="false" customHeight="true" outlineLevel="0" collapsed="false">
      <c r="A115" s="11" t="s">
        <v>999</v>
      </c>
      <c r="B115" s="11" t="s">
        <v>865</v>
      </c>
      <c r="C115" s="11" t="s">
        <v>1000</v>
      </c>
      <c r="D115" s="11" t="s">
        <v>35</v>
      </c>
      <c r="E115" s="11" t="s">
        <v>36</v>
      </c>
      <c r="F115" s="11" t="s">
        <v>1001</v>
      </c>
      <c r="G115" s="11" t="s">
        <v>1002</v>
      </c>
      <c r="H115" s="11" t="s">
        <v>1003</v>
      </c>
      <c r="I115" s="11" t="s">
        <v>1004</v>
      </c>
      <c r="J115" s="11" t="s">
        <v>1005</v>
      </c>
      <c r="K115" s="12" t="s">
        <v>25</v>
      </c>
      <c r="L115" s="11" t="s">
        <v>1006</v>
      </c>
      <c r="M115" s="11" t="s">
        <v>43</v>
      </c>
      <c r="N115" s="11" t="s">
        <v>64</v>
      </c>
      <c r="O115" s="11" t="s">
        <v>73</v>
      </c>
      <c r="P115" s="11" t="s">
        <v>1007</v>
      </c>
    </row>
    <row r="116" customFormat="false" ht="85.5" hidden="false" customHeight="true" outlineLevel="0" collapsed="false">
      <c r="A116" s="9" t="s">
        <v>1008</v>
      </c>
      <c r="B116" s="9" t="s">
        <v>865</v>
      </c>
      <c r="C116" s="9" t="s">
        <v>1000</v>
      </c>
      <c r="D116" s="9" t="s">
        <v>35</v>
      </c>
      <c r="E116" s="9" t="s">
        <v>118</v>
      </c>
      <c r="F116" s="9" t="s">
        <v>1009</v>
      </c>
      <c r="G116" s="9" t="s">
        <v>1010</v>
      </c>
      <c r="H116" s="9" t="s">
        <v>1011</v>
      </c>
      <c r="I116" s="9" t="s">
        <v>1012</v>
      </c>
      <c r="J116" s="9" t="s">
        <v>1013</v>
      </c>
      <c r="K116" s="10" t="s">
        <v>25</v>
      </c>
      <c r="L116" s="9" t="s">
        <v>1014</v>
      </c>
      <c r="M116" s="9" t="s">
        <v>43</v>
      </c>
      <c r="N116" s="9" t="s">
        <v>64</v>
      </c>
      <c r="O116" s="9" t="s">
        <v>73</v>
      </c>
      <c r="P116" s="9" t="s">
        <v>1007</v>
      </c>
    </row>
    <row r="117" customFormat="false" ht="85.5" hidden="false" customHeight="true" outlineLevel="0" collapsed="false">
      <c r="A117" s="11" t="s">
        <v>1015</v>
      </c>
      <c r="B117" s="11" t="s">
        <v>865</v>
      </c>
      <c r="C117" s="11" t="s">
        <v>1016</v>
      </c>
      <c r="D117" s="11" t="s">
        <v>35</v>
      </c>
      <c r="E117" s="11" t="s">
        <v>36</v>
      </c>
      <c r="F117" s="11" t="s">
        <v>1017</v>
      </c>
      <c r="G117" s="11" t="s">
        <v>1018</v>
      </c>
      <c r="H117" s="11" t="s">
        <v>1019</v>
      </c>
      <c r="I117" s="11" t="s">
        <v>1020</v>
      </c>
      <c r="J117" s="11" t="s">
        <v>1021</v>
      </c>
      <c r="K117" s="12" t="s">
        <v>25</v>
      </c>
      <c r="L117" s="11" t="s">
        <v>1022</v>
      </c>
      <c r="M117" s="11" t="s">
        <v>43</v>
      </c>
      <c r="N117" s="11" t="s">
        <v>64</v>
      </c>
      <c r="O117" s="11" t="s">
        <v>45</v>
      </c>
      <c r="P117" s="11" t="s">
        <v>1023</v>
      </c>
    </row>
    <row r="118" customFormat="false" ht="85.5" hidden="false" customHeight="true" outlineLevel="0" collapsed="false">
      <c r="A118" s="9" t="s">
        <v>1024</v>
      </c>
      <c r="B118" s="9" t="s">
        <v>865</v>
      </c>
      <c r="C118" s="9" t="s">
        <v>1025</v>
      </c>
      <c r="D118" s="9" t="s">
        <v>35</v>
      </c>
      <c r="E118" s="9" t="s">
        <v>57</v>
      </c>
      <c r="F118" s="9" t="s">
        <v>1026</v>
      </c>
      <c r="G118" s="9" t="s">
        <v>1027</v>
      </c>
      <c r="H118" s="9" t="s">
        <v>1028</v>
      </c>
      <c r="I118" s="9" t="s">
        <v>1029</v>
      </c>
      <c r="J118" s="9" t="s">
        <v>1030</v>
      </c>
      <c r="K118" s="10" t="s">
        <v>25</v>
      </c>
      <c r="L118" s="9" t="s">
        <v>1031</v>
      </c>
      <c r="M118" s="9" t="s">
        <v>43</v>
      </c>
      <c r="N118" s="9" t="s">
        <v>64</v>
      </c>
      <c r="O118" s="9" t="s">
        <v>45</v>
      </c>
      <c r="P118" s="9" t="s">
        <v>1032</v>
      </c>
    </row>
    <row r="119" customFormat="false" ht="85.5" hidden="false" customHeight="true" outlineLevel="0" collapsed="false">
      <c r="A119" s="11" t="s">
        <v>1033</v>
      </c>
      <c r="B119" s="11" t="s">
        <v>865</v>
      </c>
      <c r="C119" s="11" t="s">
        <v>1025</v>
      </c>
      <c r="D119" s="11" t="s">
        <v>35</v>
      </c>
      <c r="E119" s="11" t="s">
        <v>118</v>
      </c>
      <c r="F119" s="11" t="s">
        <v>1034</v>
      </c>
      <c r="G119" s="11" t="s">
        <v>1035</v>
      </c>
      <c r="H119" s="11" t="s">
        <v>1036</v>
      </c>
      <c r="I119" s="11" t="s">
        <v>1037</v>
      </c>
      <c r="J119" s="11" t="s">
        <v>1038</v>
      </c>
      <c r="K119" s="12" t="s">
        <v>25</v>
      </c>
      <c r="L119" s="11" t="s">
        <v>1039</v>
      </c>
      <c r="M119" s="11" t="s">
        <v>43</v>
      </c>
      <c r="N119" s="11" t="s">
        <v>64</v>
      </c>
      <c r="O119" s="11" t="s">
        <v>73</v>
      </c>
      <c r="P119" s="11" t="s">
        <v>1040</v>
      </c>
    </row>
    <row r="120" customFormat="false" ht="85.5" hidden="false" customHeight="true" outlineLevel="0" collapsed="false">
      <c r="A120" s="9" t="s">
        <v>1041</v>
      </c>
      <c r="B120" s="9" t="s">
        <v>865</v>
      </c>
      <c r="C120" s="9" t="s">
        <v>1042</v>
      </c>
      <c r="D120" s="9" t="s">
        <v>35</v>
      </c>
      <c r="E120" s="9" t="s">
        <v>57</v>
      </c>
      <c r="F120" s="9" t="s">
        <v>1043</v>
      </c>
      <c r="G120" s="9" t="s">
        <v>1044</v>
      </c>
      <c r="H120" s="9" t="s">
        <v>1045</v>
      </c>
      <c r="I120" s="9" t="s">
        <v>1046</v>
      </c>
      <c r="J120" s="9" t="s">
        <v>1047</v>
      </c>
      <c r="K120" s="10" t="s">
        <v>25</v>
      </c>
      <c r="L120" s="9" t="s">
        <v>1048</v>
      </c>
      <c r="M120" s="9" t="s">
        <v>43</v>
      </c>
      <c r="N120" s="9" t="s">
        <v>64</v>
      </c>
      <c r="O120" s="9" t="s">
        <v>73</v>
      </c>
      <c r="P120" s="9" t="s">
        <v>1049</v>
      </c>
    </row>
    <row r="121" customFormat="false" ht="85.5" hidden="false" customHeight="true" outlineLevel="0" collapsed="false">
      <c r="A121" s="11" t="s">
        <v>1050</v>
      </c>
      <c r="B121" s="11" t="s">
        <v>865</v>
      </c>
      <c r="C121" s="11" t="s">
        <v>1042</v>
      </c>
      <c r="D121" s="11" t="s">
        <v>35</v>
      </c>
      <c r="E121" s="11" t="s">
        <v>118</v>
      </c>
      <c r="F121" s="11" t="s">
        <v>1051</v>
      </c>
      <c r="G121" s="11" t="s">
        <v>1052</v>
      </c>
      <c r="H121" s="11" t="s">
        <v>1053</v>
      </c>
      <c r="I121" s="11" t="s">
        <v>1054</v>
      </c>
      <c r="J121" s="11" t="s">
        <v>1055</v>
      </c>
      <c r="K121" s="12" t="s">
        <v>25</v>
      </c>
      <c r="L121" s="11" t="s">
        <v>1056</v>
      </c>
      <c r="M121" s="11" t="s">
        <v>43</v>
      </c>
      <c r="N121" s="11" t="s">
        <v>64</v>
      </c>
      <c r="O121" s="11" t="s">
        <v>73</v>
      </c>
      <c r="P121" s="11" t="s">
        <v>1049</v>
      </c>
    </row>
    <row r="122" customFormat="false" ht="85.5" hidden="false" customHeight="true" outlineLevel="0" collapsed="false">
      <c r="A122" s="9" t="s">
        <v>1057</v>
      </c>
      <c r="B122" s="9" t="s">
        <v>865</v>
      </c>
      <c r="C122" s="9" t="s">
        <v>1058</v>
      </c>
      <c r="D122" s="9" t="s">
        <v>35</v>
      </c>
      <c r="E122" s="9" t="s">
        <v>118</v>
      </c>
      <c r="F122" s="9" t="s">
        <v>1059</v>
      </c>
      <c r="G122" s="9" t="s">
        <v>1060</v>
      </c>
      <c r="H122" s="9" t="s">
        <v>1061</v>
      </c>
      <c r="I122" s="9" t="s">
        <v>1062</v>
      </c>
      <c r="J122" s="9" t="s">
        <v>1063</v>
      </c>
      <c r="K122" s="10" t="s">
        <v>25</v>
      </c>
      <c r="L122" s="9" t="s">
        <v>1064</v>
      </c>
      <c r="M122" s="9" t="s">
        <v>43</v>
      </c>
      <c r="N122" s="9" t="s">
        <v>64</v>
      </c>
      <c r="O122" s="9" t="s">
        <v>73</v>
      </c>
      <c r="P122" s="9" t="s">
        <v>1065</v>
      </c>
    </row>
    <row r="123" customFormat="false" ht="85.5" hidden="false" customHeight="true" outlineLevel="0" collapsed="false">
      <c r="A123" s="11" t="s">
        <v>1066</v>
      </c>
      <c r="B123" s="11" t="s">
        <v>865</v>
      </c>
      <c r="C123" s="11" t="s">
        <v>1067</v>
      </c>
      <c r="D123" s="11" t="s">
        <v>35</v>
      </c>
      <c r="E123" s="11" t="s">
        <v>188</v>
      </c>
      <c r="F123" s="11" t="s">
        <v>1068</v>
      </c>
      <c r="G123" s="11" t="s">
        <v>1069</v>
      </c>
      <c r="H123" s="11" t="s">
        <v>1070</v>
      </c>
      <c r="I123" s="11" t="s">
        <v>1071</v>
      </c>
      <c r="J123" s="11" t="s">
        <v>1072</v>
      </c>
      <c r="K123" s="12" t="s">
        <v>25</v>
      </c>
      <c r="L123" s="11" t="s">
        <v>1073</v>
      </c>
      <c r="M123" s="11" t="s">
        <v>43</v>
      </c>
      <c r="N123" s="11" t="s">
        <v>54</v>
      </c>
      <c r="O123" s="11" t="s">
        <v>45</v>
      </c>
      <c r="P123" s="11" t="s">
        <v>1074</v>
      </c>
    </row>
    <row r="124" customFormat="false" ht="85.5" hidden="false" customHeight="true" outlineLevel="0" collapsed="false">
      <c r="A124" s="9" t="s">
        <v>1075</v>
      </c>
      <c r="B124" s="9" t="s">
        <v>865</v>
      </c>
      <c r="C124" s="9" t="s">
        <v>1076</v>
      </c>
      <c r="D124" s="9" t="s">
        <v>136</v>
      </c>
      <c r="E124" s="9" t="s">
        <v>36</v>
      </c>
      <c r="F124" s="9" t="s">
        <v>1077</v>
      </c>
      <c r="G124" s="9" t="s">
        <v>1078</v>
      </c>
      <c r="H124" s="9" t="s">
        <v>1079</v>
      </c>
      <c r="I124" s="9" t="s">
        <v>1002</v>
      </c>
      <c r="J124" s="9" t="s">
        <v>1080</v>
      </c>
      <c r="K124" s="10" t="s">
        <v>25</v>
      </c>
      <c r="L124" s="9" t="s">
        <v>1081</v>
      </c>
      <c r="M124" s="9" t="s">
        <v>43</v>
      </c>
      <c r="N124" s="9" t="s">
        <v>64</v>
      </c>
      <c r="O124" s="9" t="s">
        <v>73</v>
      </c>
      <c r="P124" s="9" t="s">
        <v>1082</v>
      </c>
    </row>
    <row r="125" customFormat="false" ht="85.5" hidden="false" customHeight="true" outlineLevel="0" collapsed="false">
      <c r="A125" s="11" t="s">
        <v>1083</v>
      </c>
      <c r="B125" s="11" t="s">
        <v>865</v>
      </c>
      <c r="C125" s="11" t="s">
        <v>1076</v>
      </c>
      <c r="D125" s="11" t="s">
        <v>136</v>
      </c>
      <c r="E125" s="11" t="s">
        <v>118</v>
      </c>
      <c r="F125" s="11" t="s">
        <v>1084</v>
      </c>
      <c r="G125" s="11" t="s">
        <v>1085</v>
      </c>
      <c r="H125" s="11" t="s">
        <v>1086</v>
      </c>
      <c r="I125" s="11" t="s">
        <v>1087</v>
      </c>
      <c r="J125" s="11" t="s">
        <v>1088</v>
      </c>
      <c r="K125" s="12" t="s">
        <v>25</v>
      </c>
      <c r="L125" s="11" t="s">
        <v>1089</v>
      </c>
      <c r="M125" s="11" t="s">
        <v>43</v>
      </c>
      <c r="N125" s="11" t="s">
        <v>64</v>
      </c>
      <c r="O125" s="11" t="s">
        <v>73</v>
      </c>
      <c r="P125" s="11" t="s">
        <v>1090</v>
      </c>
    </row>
    <row r="126" customFormat="false" ht="85.5" hidden="false" customHeight="true" outlineLevel="0" collapsed="false">
      <c r="A126" s="9" t="s">
        <v>1091</v>
      </c>
      <c r="B126" s="9" t="s">
        <v>865</v>
      </c>
      <c r="C126" s="9" t="s">
        <v>1092</v>
      </c>
      <c r="D126" s="9" t="s">
        <v>35</v>
      </c>
      <c r="E126" s="9" t="s">
        <v>36</v>
      </c>
      <c r="F126" s="9" t="s">
        <v>1093</v>
      </c>
      <c r="G126" s="9" t="s">
        <v>1094</v>
      </c>
      <c r="H126" s="9" t="s">
        <v>1095</v>
      </c>
      <c r="I126" s="9" t="s">
        <v>1096</v>
      </c>
      <c r="J126" s="9" t="s">
        <v>1097</v>
      </c>
      <c r="K126" s="10" t="s">
        <v>25</v>
      </c>
      <c r="L126" s="9" t="s">
        <v>1098</v>
      </c>
      <c r="M126" s="9" t="s">
        <v>43</v>
      </c>
      <c r="N126" s="9" t="s">
        <v>54</v>
      </c>
      <c r="O126" s="9" t="s">
        <v>73</v>
      </c>
      <c r="P126" s="9" t="s">
        <v>1099</v>
      </c>
    </row>
    <row r="127" customFormat="false" ht="85.5" hidden="false" customHeight="true" outlineLevel="0" collapsed="false">
      <c r="A127" s="11" t="s">
        <v>1100</v>
      </c>
      <c r="B127" s="11" t="s">
        <v>865</v>
      </c>
      <c r="C127" s="11" t="s">
        <v>950</v>
      </c>
      <c r="D127" s="11" t="s">
        <v>136</v>
      </c>
      <c r="E127" s="11" t="s">
        <v>188</v>
      </c>
      <c r="F127" s="11" t="s">
        <v>1101</v>
      </c>
      <c r="G127" s="11" t="s">
        <v>1102</v>
      </c>
      <c r="H127" s="11" t="s">
        <v>1103</v>
      </c>
      <c r="I127" s="11" t="s">
        <v>1104</v>
      </c>
      <c r="J127" s="11" t="s">
        <v>1105</v>
      </c>
      <c r="K127" s="12" t="s">
        <v>25</v>
      </c>
      <c r="L127" s="11" t="s">
        <v>1106</v>
      </c>
      <c r="M127" s="11" t="s">
        <v>43</v>
      </c>
      <c r="N127" s="11" t="s">
        <v>54</v>
      </c>
      <c r="O127" s="11" t="s">
        <v>45</v>
      </c>
      <c r="P127" s="11" t="s">
        <v>1107</v>
      </c>
    </row>
    <row r="128" customFormat="false" ht="85.5" hidden="false" customHeight="true" outlineLevel="0" collapsed="false">
      <c r="A128" s="9" t="s">
        <v>1108</v>
      </c>
      <c r="B128" s="9" t="s">
        <v>1109</v>
      </c>
      <c r="C128" s="9" t="s">
        <v>1110</v>
      </c>
      <c r="D128" s="9" t="s">
        <v>35</v>
      </c>
      <c r="E128" s="9" t="s">
        <v>188</v>
      </c>
      <c r="F128" s="9" t="s">
        <v>1111</v>
      </c>
      <c r="G128" s="9" t="s">
        <v>1112</v>
      </c>
      <c r="H128" s="9" t="s">
        <v>1113</v>
      </c>
      <c r="I128" s="9" t="s">
        <v>1114</v>
      </c>
      <c r="J128" s="9" t="s">
        <v>1115</v>
      </c>
      <c r="K128" s="10" t="s">
        <v>25</v>
      </c>
      <c r="L128" s="9" t="s">
        <v>1116</v>
      </c>
      <c r="M128" s="9" t="s">
        <v>43</v>
      </c>
      <c r="N128" s="9" t="s">
        <v>64</v>
      </c>
      <c r="O128" s="9" t="s">
        <v>73</v>
      </c>
      <c r="P128" s="9" t="s">
        <v>1117</v>
      </c>
    </row>
    <row r="129" customFormat="false" ht="85.5" hidden="false" customHeight="true" outlineLevel="0" collapsed="false">
      <c r="A129" s="11" t="s">
        <v>1118</v>
      </c>
      <c r="B129" s="11" t="s">
        <v>1109</v>
      </c>
      <c r="C129" s="11" t="s">
        <v>1110</v>
      </c>
      <c r="D129" s="11" t="s">
        <v>35</v>
      </c>
      <c r="E129" s="11" t="s">
        <v>188</v>
      </c>
      <c r="F129" s="11" t="s">
        <v>1119</v>
      </c>
      <c r="G129" s="11" t="s">
        <v>1120</v>
      </c>
      <c r="H129" s="11" t="s">
        <v>1121</v>
      </c>
      <c r="I129" s="11" t="s">
        <v>1122</v>
      </c>
      <c r="J129" s="11" t="s">
        <v>1123</v>
      </c>
      <c r="K129" s="12" t="s">
        <v>25</v>
      </c>
      <c r="L129" s="11" t="s">
        <v>1124</v>
      </c>
      <c r="M129" s="11" t="s">
        <v>43</v>
      </c>
      <c r="N129" s="11" t="s">
        <v>54</v>
      </c>
      <c r="O129" s="11" t="s">
        <v>73</v>
      </c>
      <c r="P129" s="11" t="s">
        <v>1125</v>
      </c>
    </row>
    <row r="130" customFormat="false" ht="85.5" hidden="false" customHeight="true" outlineLevel="0" collapsed="false">
      <c r="A130" s="9" t="s">
        <v>1126</v>
      </c>
      <c r="B130" s="9" t="s">
        <v>1109</v>
      </c>
      <c r="C130" s="9" t="s">
        <v>1110</v>
      </c>
      <c r="D130" s="9" t="s">
        <v>35</v>
      </c>
      <c r="E130" s="9" t="s">
        <v>36</v>
      </c>
      <c r="F130" s="9" t="s">
        <v>1127</v>
      </c>
      <c r="G130" s="9" t="s">
        <v>1128</v>
      </c>
      <c r="H130" s="9" t="s">
        <v>1129</v>
      </c>
      <c r="I130" s="9" t="s">
        <v>1130</v>
      </c>
      <c r="J130" s="9" t="s">
        <v>1131</v>
      </c>
      <c r="K130" s="10" t="s">
        <v>25</v>
      </c>
      <c r="L130" s="9" t="s">
        <v>1132</v>
      </c>
      <c r="M130" s="9" t="s">
        <v>43</v>
      </c>
      <c r="N130" s="9" t="s">
        <v>54</v>
      </c>
      <c r="O130" s="9" t="s">
        <v>73</v>
      </c>
      <c r="P130" s="9" t="s">
        <v>1133</v>
      </c>
    </row>
    <row r="131" customFormat="false" ht="85.5" hidden="false" customHeight="true" outlineLevel="0" collapsed="false">
      <c r="A131" s="11" t="s">
        <v>1134</v>
      </c>
      <c r="B131" s="11" t="s">
        <v>1109</v>
      </c>
      <c r="C131" s="11" t="s">
        <v>1135</v>
      </c>
      <c r="D131" s="11" t="s">
        <v>35</v>
      </c>
      <c r="E131" s="11" t="s">
        <v>36</v>
      </c>
      <c r="F131" s="11" t="s">
        <v>1136</v>
      </c>
      <c r="G131" s="11" t="s">
        <v>1137</v>
      </c>
      <c r="H131" s="11" t="s">
        <v>1138</v>
      </c>
      <c r="I131" s="11" t="s">
        <v>1139</v>
      </c>
      <c r="J131" s="11" t="s">
        <v>1140</v>
      </c>
      <c r="K131" s="12" t="s">
        <v>25</v>
      </c>
      <c r="L131" s="11" t="s">
        <v>1141</v>
      </c>
      <c r="M131" s="11" t="s">
        <v>43</v>
      </c>
      <c r="N131" s="11" t="s">
        <v>64</v>
      </c>
      <c r="O131" s="11" t="s">
        <v>73</v>
      </c>
      <c r="P131" s="11" t="s">
        <v>1142</v>
      </c>
    </row>
    <row r="132" customFormat="false" ht="85.5" hidden="false" customHeight="true" outlineLevel="0" collapsed="false">
      <c r="A132" s="9" t="s">
        <v>1143</v>
      </c>
      <c r="B132" s="9" t="s">
        <v>1109</v>
      </c>
      <c r="C132" s="9" t="s">
        <v>1135</v>
      </c>
      <c r="D132" s="9" t="s">
        <v>35</v>
      </c>
      <c r="E132" s="9" t="s">
        <v>57</v>
      </c>
      <c r="F132" s="9" t="s">
        <v>1144</v>
      </c>
      <c r="G132" s="9" t="s">
        <v>1145</v>
      </c>
      <c r="H132" s="9" t="s">
        <v>1146</v>
      </c>
      <c r="I132" s="9" t="s">
        <v>1147</v>
      </c>
      <c r="J132" s="9" t="s">
        <v>1148</v>
      </c>
      <c r="K132" s="10" t="s">
        <v>25</v>
      </c>
      <c r="L132" s="9" t="s">
        <v>1149</v>
      </c>
      <c r="M132" s="9" t="s">
        <v>43</v>
      </c>
      <c r="N132" s="9" t="s">
        <v>54</v>
      </c>
      <c r="O132" s="9" t="s">
        <v>73</v>
      </c>
      <c r="P132" s="9" t="s">
        <v>1150</v>
      </c>
    </row>
    <row r="133" customFormat="false" ht="85.5" hidden="false" customHeight="true" outlineLevel="0" collapsed="false">
      <c r="A133" s="11" t="s">
        <v>1151</v>
      </c>
      <c r="B133" s="11" t="s">
        <v>1109</v>
      </c>
      <c r="C133" s="11" t="s">
        <v>1152</v>
      </c>
      <c r="D133" s="11" t="s">
        <v>136</v>
      </c>
      <c r="E133" s="11" t="s">
        <v>188</v>
      </c>
      <c r="F133" s="11" t="s">
        <v>1153</v>
      </c>
      <c r="G133" s="11" t="s">
        <v>1154</v>
      </c>
      <c r="H133" s="11" t="s">
        <v>1155</v>
      </c>
      <c r="I133" s="11" t="s">
        <v>1156</v>
      </c>
      <c r="J133" s="11" t="s">
        <v>1157</v>
      </c>
      <c r="K133" s="12" t="s">
        <v>25</v>
      </c>
      <c r="L133" s="11" t="s">
        <v>1158</v>
      </c>
      <c r="M133" s="11" t="s">
        <v>43</v>
      </c>
      <c r="N133" s="11" t="s">
        <v>54</v>
      </c>
      <c r="O133" s="11" t="s">
        <v>73</v>
      </c>
      <c r="P133" s="11" t="s">
        <v>1159</v>
      </c>
    </row>
    <row r="134" customFormat="false" ht="85.5" hidden="false" customHeight="true" outlineLevel="0" collapsed="false">
      <c r="A134" s="9" t="s">
        <v>1160</v>
      </c>
      <c r="B134" s="9" t="s">
        <v>1109</v>
      </c>
      <c r="C134" s="9" t="s">
        <v>1152</v>
      </c>
      <c r="D134" s="9" t="s">
        <v>136</v>
      </c>
      <c r="E134" s="9" t="s">
        <v>118</v>
      </c>
      <c r="F134" s="9" t="s">
        <v>1161</v>
      </c>
      <c r="G134" s="9" t="s">
        <v>1162</v>
      </c>
      <c r="H134" s="9" t="s">
        <v>1163</v>
      </c>
      <c r="I134" s="9" t="s">
        <v>714</v>
      </c>
      <c r="J134" s="9" t="s">
        <v>1164</v>
      </c>
      <c r="K134" s="10" t="s">
        <v>25</v>
      </c>
      <c r="L134" s="9" t="s">
        <v>1165</v>
      </c>
      <c r="M134" s="9" t="s">
        <v>43</v>
      </c>
      <c r="N134" s="9" t="s">
        <v>64</v>
      </c>
      <c r="O134" s="9" t="s">
        <v>73</v>
      </c>
      <c r="P134" s="9" t="s">
        <v>1166</v>
      </c>
    </row>
    <row r="135" customFormat="false" ht="85.5" hidden="false" customHeight="true" outlineLevel="0" collapsed="false">
      <c r="A135" s="11" t="s">
        <v>1167</v>
      </c>
      <c r="B135" s="11" t="s">
        <v>1109</v>
      </c>
      <c r="C135" s="11" t="s">
        <v>1168</v>
      </c>
      <c r="D135" s="11" t="s">
        <v>136</v>
      </c>
      <c r="E135" s="11" t="s">
        <v>118</v>
      </c>
      <c r="F135" s="11" t="s">
        <v>1169</v>
      </c>
      <c r="G135" s="11" t="s">
        <v>1170</v>
      </c>
      <c r="H135" s="11" t="s">
        <v>1171</v>
      </c>
      <c r="I135" s="11" t="s">
        <v>1172</v>
      </c>
      <c r="J135" s="11" t="s">
        <v>1173</v>
      </c>
      <c r="K135" s="12" t="s">
        <v>25</v>
      </c>
      <c r="L135" s="11" t="s">
        <v>1174</v>
      </c>
      <c r="M135" s="11" t="s">
        <v>43</v>
      </c>
      <c r="N135" s="11" t="s">
        <v>64</v>
      </c>
      <c r="O135" s="11" t="s">
        <v>73</v>
      </c>
      <c r="P135" s="11" t="s">
        <v>1175</v>
      </c>
    </row>
    <row r="136" customFormat="false" ht="85.5" hidden="false" customHeight="true" outlineLevel="0" collapsed="false">
      <c r="A136" s="9" t="s">
        <v>1176</v>
      </c>
      <c r="B136" s="9" t="s">
        <v>1109</v>
      </c>
      <c r="C136" s="9" t="s">
        <v>1168</v>
      </c>
      <c r="D136" s="9" t="s">
        <v>136</v>
      </c>
      <c r="E136" s="9" t="s">
        <v>188</v>
      </c>
      <c r="F136" s="9" t="s">
        <v>1177</v>
      </c>
      <c r="G136" s="9" t="s">
        <v>1178</v>
      </c>
      <c r="H136" s="9" t="s">
        <v>1179</v>
      </c>
      <c r="I136" s="9" t="s">
        <v>1180</v>
      </c>
      <c r="J136" s="9" t="s">
        <v>1181</v>
      </c>
      <c r="K136" s="10" t="s">
        <v>25</v>
      </c>
      <c r="L136" s="9" t="s">
        <v>1182</v>
      </c>
      <c r="M136" s="9" t="s">
        <v>43</v>
      </c>
      <c r="N136" s="9" t="s">
        <v>44</v>
      </c>
      <c r="O136" s="9" t="s">
        <v>45</v>
      </c>
      <c r="P136" s="9" t="s">
        <v>1183</v>
      </c>
    </row>
    <row r="137" customFormat="false" ht="85.5" hidden="false" customHeight="true" outlineLevel="0" collapsed="false">
      <c r="A137" s="11" t="s">
        <v>1184</v>
      </c>
      <c r="B137" s="11" t="s">
        <v>1109</v>
      </c>
      <c r="C137" s="11" t="s">
        <v>1185</v>
      </c>
      <c r="D137" s="11" t="s">
        <v>35</v>
      </c>
      <c r="E137" s="11" t="s">
        <v>118</v>
      </c>
      <c r="F137" s="11" t="s">
        <v>1186</v>
      </c>
      <c r="G137" s="11" t="s">
        <v>1187</v>
      </c>
      <c r="H137" s="11" t="s">
        <v>1188</v>
      </c>
      <c r="I137" s="11" t="s">
        <v>1189</v>
      </c>
      <c r="J137" s="11" t="s">
        <v>1190</v>
      </c>
      <c r="K137" s="12" t="s">
        <v>25</v>
      </c>
      <c r="L137" s="11" t="s">
        <v>1191</v>
      </c>
      <c r="M137" s="11" t="s">
        <v>43</v>
      </c>
      <c r="N137" s="11" t="s">
        <v>64</v>
      </c>
      <c r="O137" s="11" t="s">
        <v>73</v>
      </c>
      <c r="P137" s="11" t="s">
        <v>1192</v>
      </c>
    </row>
    <row r="138" customFormat="false" ht="85.5" hidden="false" customHeight="true" outlineLevel="0" collapsed="false">
      <c r="A138" s="9" t="s">
        <v>1193</v>
      </c>
      <c r="B138" s="9" t="s">
        <v>1109</v>
      </c>
      <c r="C138" s="9" t="s">
        <v>1185</v>
      </c>
      <c r="D138" s="9" t="s">
        <v>35</v>
      </c>
      <c r="E138" s="9" t="s">
        <v>389</v>
      </c>
      <c r="F138" s="9" t="s">
        <v>1194</v>
      </c>
      <c r="G138" s="9" t="s">
        <v>45</v>
      </c>
      <c r="H138" s="9" t="s">
        <v>1195</v>
      </c>
      <c r="I138" s="9" t="s">
        <v>1196</v>
      </c>
      <c r="J138" s="9" t="s">
        <v>1197</v>
      </c>
      <c r="K138" s="10" t="s">
        <v>25</v>
      </c>
      <c r="L138" s="9" t="s">
        <v>1198</v>
      </c>
      <c r="M138" s="9" t="s">
        <v>43</v>
      </c>
      <c r="N138" s="9" t="s">
        <v>64</v>
      </c>
      <c r="O138" s="9" t="s">
        <v>73</v>
      </c>
      <c r="P138" s="9" t="s">
        <v>1199</v>
      </c>
    </row>
    <row r="139" customFormat="false" ht="85.5" hidden="false" customHeight="true" outlineLevel="0" collapsed="false">
      <c r="A139" s="11" t="s">
        <v>1200</v>
      </c>
      <c r="B139" s="11" t="s">
        <v>1109</v>
      </c>
      <c r="C139" s="11" t="s">
        <v>1201</v>
      </c>
      <c r="D139" s="11" t="s">
        <v>35</v>
      </c>
      <c r="E139" s="11" t="s">
        <v>118</v>
      </c>
      <c r="F139" s="11" t="s">
        <v>1202</v>
      </c>
      <c r="G139" s="11" t="s">
        <v>1203</v>
      </c>
      <c r="H139" s="11" t="s">
        <v>1204</v>
      </c>
      <c r="I139" s="11" t="s">
        <v>1205</v>
      </c>
      <c r="J139" s="11" t="s">
        <v>1154</v>
      </c>
      <c r="K139" s="12" t="s">
        <v>25</v>
      </c>
      <c r="L139" s="11" t="s">
        <v>1206</v>
      </c>
      <c r="M139" s="11" t="s">
        <v>43</v>
      </c>
      <c r="N139" s="11" t="s">
        <v>64</v>
      </c>
      <c r="O139" s="11" t="s">
        <v>73</v>
      </c>
      <c r="P139" s="11" t="s">
        <v>1207</v>
      </c>
    </row>
    <row r="140" customFormat="false" ht="85.5" hidden="false" customHeight="true" outlineLevel="0" collapsed="false">
      <c r="A140" s="9" t="s">
        <v>1208</v>
      </c>
      <c r="B140" s="9" t="s">
        <v>1109</v>
      </c>
      <c r="C140" s="9" t="s">
        <v>1201</v>
      </c>
      <c r="D140" s="9" t="s">
        <v>35</v>
      </c>
      <c r="E140" s="9" t="s">
        <v>389</v>
      </c>
      <c r="F140" s="9" t="s">
        <v>1209</v>
      </c>
      <c r="G140" s="9" t="s">
        <v>1210</v>
      </c>
      <c r="H140" s="9" t="s">
        <v>1211</v>
      </c>
      <c r="I140" s="9" t="s">
        <v>1212</v>
      </c>
      <c r="J140" s="9" t="s">
        <v>1213</v>
      </c>
      <c r="K140" s="10" t="s">
        <v>25</v>
      </c>
      <c r="L140" s="9" t="s">
        <v>1214</v>
      </c>
      <c r="M140" s="9" t="s">
        <v>43</v>
      </c>
      <c r="N140" s="9" t="s">
        <v>54</v>
      </c>
      <c r="O140" s="9" t="s">
        <v>45</v>
      </c>
      <c r="P140" s="9" t="s">
        <v>1215</v>
      </c>
    </row>
    <row r="141" customFormat="false" ht="85.5" hidden="false" customHeight="true" outlineLevel="0" collapsed="false">
      <c r="A141" s="11" t="s">
        <v>1216</v>
      </c>
      <c r="B141" s="11" t="s">
        <v>1109</v>
      </c>
      <c r="C141" s="11" t="s">
        <v>1217</v>
      </c>
      <c r="D141" s="11" t="s">
        <v>35</v>
      </c>
      <c r="E141" s="11" t="s">
        <v>118</v>
      </c>
      <c r="F141" s="11" t="s">
        <v>1218</v>
      </c>
      <c r="G141" s="11" t="s">
        <v>1219</v>
      </c>
      <c r="H141" s="11" t="s">
        <v>1220</v>
      </c>
      <c r="I141" s="11" t="s">
        <v>1221</v>
      </c>
      <c r="J141" s="11" t="s">
        <v>1222</v>
      </c>
      <c r="K141" s="12" t="s">
        <v>25</v>
      </c>
      <c r="L141" s="11" t="s">
        <v>1223</v>
      </c>
      <c r="M141" s="11" t="s">
        <v>43</v>
      </c>
      <c r="N141" s="11" t="s">
        <v>64</v>
      </c>
      <c r="O141" s="11" t="s">
        <v>73</v>
      </c>
      <c r="P141" s="11" t="s">
        <v>1224</v>
      </c>
    </row>
    <row r="142" customFormat="false" ht="85.5" hidden="false" customHeight="true" outlineLevel="0" collapsed="false">
      <c r="A142" s="9" t="s">
        <v>1225</v>
      </c>
      <c r="B142" s="9" t="s">
        <v>1109</v>
      </c>
      <c r="C142" s="9" t="s">
        <v>1226</v>
      </c>
      <c r="D142" s="9" t="s">
        <v>35</v>
      </c>
      <c r="E142" s="9" t="s">
        <v>57</v>
      </c>
      <c r="F142" s="9" t="s">
        <v>1227</v>
      </c>
      <c r="G142" s="9" t="s">
        <v>1228</v>
      </c>
      <c r="H142" s="9" t="s">
        <v>1229</v>
      </c>
      <c r="I142" s="9" t="s">
        <v>1230</v>
      </c>
      <c r="J142" s="9" t="s">
        <v>1231</v>
      </c>
      <c r="K142" s="10" t="s">
        <v>25</v>
      </c>
      <c r="L142" s="9" t="s">
        <v>1232</v>
      </c>
      <c r="M142" s="9" t="s">
        <v>43</v>
      </c>
      <c r="N142" s="9" t="s">
        <v>64</v>
      </c>
      <c r="O142" s="9" t="s">
        <v>73</v>
      </c>
      <c r="P142" s="9" t="s">
        <v>1233</v>
      </c>
    </row>
    <row r="143" customFormat="false" ht="85.5" hidden="false" customHeight="true" outlineLevel="0" collapsed="false">
      <c r="A143" s="11" t="s">
        <v>1234</v>
      </c>
      <c r="B143" s="11" t="s">
        <v>1109</v>
      </c>
      <c r="C143" s="11" t="s">
        <v>1235</v>
      </c>
      <c r="D143" s="11" t="s">
        <v>35</v>
      </c>
      <c r="E143" s="11" t="s">
        <v>118</v>
      </c>
      <c r="F143" s="11" t="s">
        <v>1236</v>
      </c>
      <c r="G143" s="11" t="s">
        <v>1237</v>
      </c>
      <c r="H143" s="11" t="s">
        <v>1238</v>
      </c>
      <c r="I143" s="11" t="s">
        <v>1239</v>
      </c>
      <c r="J143" s="11" t="s">
        <v>1240</v>
      </c>
      <c r="K143" s="12" t="s">
        <v>25</v>
      </c>
      <c r="L143" s="11" t="s">
        <v>1241</v>
      </c>
      <c r="M143" s="11" t="s">
        <v>43</v>
      </c>
      <c r="N143" s="11" t="s">
        <v>64</v>
      </c>
      <c r="O143" s="11" t="s">
        <v>73</v>
      </c>
      <c r="P143" s="11" t="s">
        <v>1242</v>
      </c>
    </row>
    <row r="144" customFormat="false" ht="85.5" hidden="false" customHeight="true" outlineLevel="0" collapsed="false">
      <c r="A144" s="9" t="s">
        <v>1243</v>
      </c>
      <c r="B144" s="9" t="s">
        <v>1109</v>
      </c>
      <c r="C144" s="9" t="s">
        <v>1244</v>
      </c>
      <c r="D144" s="9" t="s">
        <v>35</v>
      </c>
      <c r="E144" s="9" t="s">
        <v>118</v>
      </c>
      <c r="F144" s="9" t="s">
        <v>1245</v>
      </c>
      <c r="G144" s="9" t="s">
        <v>287</v>
      </c>
      <c r="H144" s="9" t="s">
        <v>1246</v>
      </c>
      <c r="I144" s="9" t="s">
        <v>1247</v>
      </c>
      <c r="J144" s="9" t="s">
        <v>1248</v>
      </c>
      <c r="K144" s="10" t="s">
        <v>25</v>
      </c>
      <c r="L144" s="9" t="s">
        <v>1249</v>
      </c>
      <c r="M144" s="9" t="s">
        <v>43</v>
      </c>
      <c r="N144" s="9" t="s">
        <v>64</v>
      </c>
      <c r="O144" s="9" t="s">
        <v>73</v>
      </c>
      <c r="P144" s="9" t="s">
        <v>1250</v>
      </c>
    </row>
    <row r="145" customFormat="false" ht="85.5" hidden="false" customHeight="true" outlineLevel="0" collapsed="false">
      <c r="A145" s="11" t="s">
        <v>1251</v>
      </c>
      <c r="B145" s="11" t="s">
        <v>1109</v>
      </c>
      <c r="C145" s="11" t="s">
        <v>1252</v>
      </c>
      <c r="D145" s="11" t="s">
        <v>35</v>
      </c>
      <c r="E145" s="11" t="s">
        <v>389</v>
      </c>
      <c r="F145" s="11" t="s">
        <v>1253</v>
      </c>
      <c r="G145" s="11" t="s">
        <v>1254</v>
      </c>
      <c r="H145" s="11" t="s">
        <v>1255</v>
      </c>
      <c r="I145" s="11" t="s">
        <v>1256</v>
      </c>
      <c r="J145" s="11" t="s">
        <v>1257</v>
      </c>
      <c r="K145" s="12" t="s">
        <v>25</v>
      </c>
      <c r="L145" s="11" t="s">
        <v>1258</v>
      </c>
      <c r="M145" s="11" t="s">
        <v>43</v>
      </c>
      <c r="N145" s="11" t="s">
        <v>64</v>
      </c>
      <c r="O145" s="11" t="s">
        <v>73</v>
      </c>
      <c r="P145" s="11" t="s">
        <v>1259</v>
      </c>
    </row>
    <row r="146" customFormat="false" ht="85.5" hidden="false" customHeight="true" outlineLevel="0" collapsed="false">
      <c r="A146" s="9" t="s">
        <v>1260</v>
      </c>
      <c r="B146" s="9" t="s">
        <v>1109</v>
      </c>
      <c r="C146" s="9" t="s">
        <v>1261</v>
      </c>
      <c r="D146" s="9" t="s">
        <v>35</v>
      </c>
      <c r="E146" s="9" t="s">
        <v>118</v>
      </c>
      <c r="F146" s="9" t="s">
        <v>1262</v>
      </c>
      <c r="G146" s="9" t="s">
        <v>1263</v>
      </c>
      <c r="H146" s="9" t="s">
        <v>1264</v>
      </c>
      <c r="I146" s="9" t="s">
        <v>1265</v>
      </c>
      <c r="J146" s="9" t="s">
        <v>1266</v>
      </c>
      <c r="K146" s="10" t="s">
        <v>25</v>
      </c>
      <c r="L146" s="9" t="s">
        <v>1267</v>
      </c>
      <c r="M146" s="9" t="s">
        <v>43</v>
      </c>
      <c r="N146" s="9" t="s">
        <v>64</v>
      </c>
      <c r="O146" s="9" t="s">
        <v>73</v>
      </c>
      <c r="P146" s="9" t="s">
        <v>1268</v>
      </c>
    </row>
    <row r="147" customFormat="false" ht="85.5" hidden="false" customHeight="true" outlineLevel="0" collapsed="false">
      <c r="A147" s="11" t="s">
        <v>1269</v>
      </c>
      <c r="B147" s="11" t="s">
        <v>1109</v>
      </c>
      <c r="C147" s="11" t="s">
        <v>1270</v>
      </c>
      <c r="D147" s="11" t="s">
        <v>35</v>
      </c>
      <c r="E147" s="11" t="s">
        <v>36</v>
      </c>
      <c r="F147" s="11" t="s">
        <v>1271</v>
      </c>
      <c r="G147" s="11" t="s">
        <v>1272</v>
      </c>
      <c r="H147" s="11" t="s">
        <v>1273</v>
      </c>
      <c r="I147" s="11" t="s">
        <v>1274</v>
      </c>
      <c r="J147" s="11" t="s">
        <v>1275</v>
      </c>
      <c r="K147" s="12" t="s">
        <v>25</v>
      </c>
      <c r="L147" s="11" t="s">
        <v>1276</v>
      </c>
      <c r="M147" s="11" t="s">
        <v>43</v>
      </c>
      <c r="N147" s="11" t="s">
        <v>64</v>
      </c>
      <c r="O147" s="11" t="s">
        <v>73</v>
      </c>
      <c r="P147" s="11" t="s">
        <v>1277</v>
      </c>
    </row>
    <row r="148" customFormat="false" ht="85.5" hidden="false" customHeight="true" outlineLevel="0" collapsed="false">
      <c r="A148" s="9" t="s">
        <v>1278</v>
      </c>
      <c r="B148" s="9" t="s">
        <v>1109</v>
      </c>
      <c r="C148" s="9" t="s">
        <v>1279</v>
      </c>
      <c r="D148" s="9" t="s">
        <v>35</v>
      </c>
      <c r="E148" s="9" t="s">
        <v>188</v>
      </c>
      <c r="F148" s="9" t="s">
        <v>1280</v>
      </c>
      <c r="G148" s="9" t="s">
        <v>45</v>
      </c>
      <c r="H148" s="9" t="s">
        <v>1281</v>
      </c>
      <c r="I148" s="9" t="s">
        <v>1282</v>
      </c>
      <c r="J148" s="9" t="s">
        <v>1283</v>
      </c>
      <c r="K148" s="10" t="s">
        <v>25</v>
      </c>
      <c r="L148" s="9" t="s">
        <v>1284</v>
      </c>
      <c r="M148" s="9" t="s">
        <v>43</v>
      </c>
      <c r="N148" s="9" t="s">
        <v>54</v>
      </c>
      <c r="O148" s="9" t="s">
        <v>45</v>
      </c>
      <c r="P148" s="9" t="s">
        <v>1285</v>
      </c>
    </row>
    <row r="149" customFormat="false" ht="85.5" hidden="false" customHeight="true" outlineLevel="0" collapsed="false">
      <c r="A149" s="11" t="s">
        <v>1286</v>
      </c>
      <c r="B149" s="11" t="s">
        <v>1109</v>
      </c>
      <c r="C149" s="11" t="s">
        <v>1279</v>
      </c>
      <c r="D149" s="11" t="s">
        <v>35</v>
      </c>
      <c r="E149" s="11" t="s">
        <v>36</v>
      </c>
      <c r="F149" s="11" t="s">
        <v>1287</v>
      </c>
      <c r="G149" s="11" t="s">
        <v>1288</v>
      </c>
      <c r="H149" s="11" t="s">
        <v>1289</v>
      </c>
      <c r="I149" s="11" t="s">
        <v>1290</v>
      </c>
      <c r="J149" s="11" t="s">
        <v>1291</v>
      </c>
      <c r="K149" s="12" t="s">
        <v>25</v>
      </c>
      <c r="L149" s="11" t="s">
        <v>1292</v>
      </c>
      <c r="M149" s="11" t="s">
        <v>43</v>
      </c>
      <c r="N149" s="11" t="s">
        <v>54</v>
      </c>
      <c r="O149" s="11" t="s">
        <v>45</v>
      </c>
      <c r="P149" s="11" t="s">
        <v>1293</v>
      </c>
    </row>
    <row r="150" customFormat="false" ht="85.5" hidden="false" customHeight="true" outlineLevel="0" collapsed="false">
      <c r="A150" s="9" t="s">
        <v>1294</v>
      </c>
      <c r="B150" s="9" t="s">
        <v>1295</v>
      </c>
      <c r="C150" s="9" t="s">
        <v>1296</v>
      </c>
      <c r="D150" s="9" t="s">
        <v>35</v>
      </c>
      <c r="E150" s="9" t="s">
        <v>389</v>
      </c>
      <c r="F150" s="9" t="s">
        <v>1297</v>
      </c>
      <c r="G150" s="9" t="s">
        <v>1298</v>
      </c>
      <c r="H150" s="9" t="s">
        <v>1299</v>
      </c>
      <c r="I150" s="9" t="s">
        <v>1300</v>
      </c>
      <c r="J150" s="9" t="s">
        <v>1301</v>
      </c>
      <c r="K150" s="10" t="s">
        <v>25</v>
      </c>
      <c r="L150" s="9" t="s">
        <v>1302</v>
      </c>
      <c r="M150" s="9" t="s">
        <v>43</v>
      </c>
      <c r="N150" s="9" t="s">
        <v>64</v>
      </c>
      <c r="O150" s="9" t="s">
        <v>45</v>
      </c>
      <c r="P150" s="9" t="s">
        <v>1303</v>
      </c>
    </row>
    <row r="151" customFormat="false" ht="85.5" hidden="false" customHeight="true" outlineLevel="0" collapsed="false">
      <c r="A151" s="11" t="s">
        <v>1304</v>
      </c>
      <c r="B151" s="11" t="s">
        <v>1295</v>
      </c>
      <c r="C151" s="11" t="s">
        <v>1296</v>
      </c>
      <c r="D151" s="11" t="s">
        <v>35</v>
      </c>
      <c r="E151" s="11" t="s">
        <v>188</v>
      </c>
      <c r="F151" s="11" t="s">
        <v>1305</v>
      </c>
      <c r="G151" s="11" t="s">
        <v>1306</v>
      </c>
      <c r="H151" s="11" t="s">
        <v>1307</v>
      </c>
      <c r="I151" s="11" t="s">
        <v>1308</v>
      </c>
      <c r="J151" s="11" t="s">
        <v>1309</v>
      </c>
      <c r="K151" s="12" t="s">
        <v>25</v>
      </c>
      <c r="L151" s="11" t="s">
        <v>1310</v>
      </c>
      <c r="M151" s="11" t="s">
        <v>43</v>
      </c>
      <c r="N151" s="11" t="s">
        <v>44</v>
      </c>
      <c r="O151" s="11" t="s">
        <v>45</v>
      </c>
      <c r="P151" s="11" t="s">
        <v>1311</v>
      </c>
    </row>
    <row r="152" customFormat="false" ht="85.5" hidden="false" customHeight="true" outlineLevel="0" collapsed="false">
      <c r="A152" s="9" t="s">
        <v>1312</v>
      </c>
      <c r="B152" s="9" t="s">
        <v>1295</v>
      </c>
      <c r="C152" s="9" t="s">
        <v>1313</v>
      </c>
      <c r="D152" s="9" t="s">
        <v>35</v>
      </c>
      <c r="E152" s="9" t="s">
        <v>188</v>
      </c>
      <c r="F152" s="9" t="s">
        <v>1314</v>
      </c>
      <c r="G152" s="9" t="s">
        <v>1315</v>
      </c>
      <c r="H152" s="9" t="s">
        <v>1316</v>
      </c>
      <c r="I152" s="9" t="s">
        <v>1112</v>
      </c>
      <c r="J152" s="9" t="s">
        <v>1317</v>
      </c>
      <c r="K152" s="10" t="s">
        <v>25</v>
      </c>
      <c r="L152" s="9" t="s">
        <v>1318</v>
      </c>
      <c r="M152" s="9" t="s">
        <v>43</v>
      </c>
      <c r="N152" s="9" t="s">
        <v>44</v>
      </c>
      <c r="O152" s="9" t="s">
        <v>45</v>
      </c>
      <c r="P152" s="9" t="s">
        <v>1319</v>
      </c>
    </row>
    <row r="153" customFormat="false" ht="85.5" hidden="false" customHeight="true" outlineLevel="0" collapsed="false">
      <c r="A153" s="11" t="s">
        <v>1320</v>
      </c>
      <c r="B153" s="11" t="s">
        <v>1295</v>
      </c>
      <c r="C153" s="11" t="s">
        <v>1321</v>
      </c>
      <c r="D153" s="11" t="s">
        <v>35</v>
      </c>
      <c r="E153" s="11" t="s">
        <v>188</v>
      </c>
      <c r="F153" s="11" t="s">
        <v>1322</v>
      </c>
      <c r="G153" s="11" t="s">
        <v>1323</v>
      </c>
      <c r="H153" s="11" t="s">
        <v>1324</v>
      </c>
      <c r="I153" s="11" t="s">
        <v>1325</v>
      </c>
      <c r="J153" s="11" t="s">
        <v>1326</v>
      </c>
      <c r="K153" s="12" t="s">
        <v>25</v>
      </c>
      <c r="L153" s="11" t="s">
        <v>1327</v>
      </c>
      <c r="M153" s="11" t="s">
        <v>43</v>
      </c>
      <c r="N153" s="11" t="s">
        <v>54</v>
      </c>
      <c r="O153" s="11" t="s">
        <v>45</v>
      </c>
      <c r="P153" s="11" t="s">
        <v>1311</v>
      </c>
    </row>
    <row r="154" customFormat="false" ht="85.5" hidden="false" customHeight="true" outlineLevel="0" collapsed="false">
      <c r="A154" s="9" t="s">
        <v>1328</v>
      </c>
      <c r="B154" s="9" t="s">
        <v>1295</v>
      </c>
      <c r="C154" s="9" t="s">
        <v>1321</v>
      </c>
      <c r="D154" s="9" t="s">
        <v>35</v>
      </c>
      <c r="E154" s="9" t="s">
        <v>389</v>
      </c>
      <c r="F154" s="9" t="s">
        <v>1329</v>
      </c>
      <c r="G154" s="9" t="s">
        <v>1330</v>
      </c>
      <c r="H154" s="9" t="s">
        <v>1331</v>
      </c>
      <c r="I154" s="9" t="s">
        <v>1332</v>
      </c>
      <c r="J154" s="9" t="s">
        <v>1333</v>
      </c>
      <c r="K154" s="10" t="s">
        <v>25</v>
      </c>
      <c r="L154" s="9" t="s">
        <v>1334</v>
      </c>
      <c r="M154" s="9" t="s">
        <v>549</v>
      </c>
      <c r="N154" s="9" t="s">
        <v>793</v>
      </c>
      <c r="O154" s="9" t="s">
        <v>45</v>
      </c>
      <c r="P154" s="9" t="s">
        <v>1335</v>
      </c>
    </row>
    <row r="155" customFormat="false" ht="85.5" hidden="false" customHeight="true" outlineLevel="0" collapsed="false">
      <c r="A155" s="11" t="s">
        <v>1336</v>
      </c>
      <c r="B155" s="11" t="s">
        <v>1295</v>
      </c>
      <c r="C155" s="11" t="s">
        <v>1321</v>
      </c>
      <c r="D155" s="11" t="s">
        <v>35</v>
      </c>
      <c r="E155" s="11" t="s">
        <v>389</v>
      </c>
      <c r="F155" s="11" t="s">
        <v>1337</v>
      </c>
      <c r="G155" s="11" t="s">
        <v>1338</v>
      </c>
      <c r="H155" s="11" t="s">
        <v>1339</v>
      </c>
      <c r="I155" s="11" t="s">
        <v>1340</v>
      </c>
      <c r="J155" s="11" t="s">
        <v>1341</v>
      </c>
      <c r="K155" s="12" t="s">
        <v>25</v>
      </c>
      <c r="L155" s="11" t="s">
        <v>1342</v>
      </c>
      <c r="M155" s="11" t="s">
        <v>549</v>
      </c>
      <c r="N155" s="11" t="s">
        <v>793</v>
      </c>
      <c r="O155" s="11" t="s">
        <v>45</v>
      </c>
      <c r="P155" s="11" t="s">
        <v>1335</v>
      </c>
    </row>
    <row r="156" customFormat="false" ht="85.5" hidden="false" customHeight="true" outlineLevel="0" collapsed="false">
      <c r="A156" s="9" t="s">
        <v>1343</v>
      </c>
      <c r="B156" s="9" t="s">
        <v>1295</v>
      </c>
      <c r="C156" s="9" t="s">
        <v>1344</v>
      </c>
      <c r="D156" s="9" t="s">
        <v>35</v>
      </c>
      <c r="E156" s="9" t="s">
        <v>57</v>
      </c>
      <c r="F156" s="9" t="s">
        <v>1345</v>
      </c>
      <c r="G156" s="9" t="s">
        <v>1346</v>
      </c>
      <c r="H156" s="9" t="s">
        <v>1347</v>
      </c>
      <c r="I156" s="9" t="s">
        <v>1348</v>
      </c>
      <c r="J156" s="9" t="s">
        <v>1349</v>
      </c>
      <c r="K156" s="10" t="s">
        <v>25</v>
      </c>
      <c r="L156" s="9" t="s">
        <v>1350</v>
      </c>
      <c r="M156" s="9" t="s">
        <v>43</v>
      </c>
      <c r="N156" s="9" t="s">
        <v>64</v>
      </c>
      <c r="O156" s="9" t="s">
        <v>45</v>
      </c>
      <c r="P156" s="9" t="s">
        <v>1351</v>
      </c>
    </row>
    <row r="157" customFormat="false" ht="85.5" hidden="false" customHeight="true" outlineLevel="0" collapsed="false">
      <c r="A157" s="11" t="s">
        <v>1352</v>
      </c>
      <c r="B157" s="11" t="s">
        <v>1295</v>
      </c>
      <c r="C157" s="11" t="s">
        <v>1344</v>
      </c>
      <c r="D157" s="11" t="s">
        <v>35</v>
      </c>
      <c r="E157" s="11" t="s">
        <v>188</v>
      </c>
      <c r="F157" s="11" t="s">
        <v>1353</v>
      </c>
      <c r="G157" s="11" t="s">
        <v>1354</v>
      </c>
      <c r="H157" s="11" t="s">
        <v>1355</v>
      </c>
      <c r="I157" s="11" t="s">
        <v>1356</v>
      </c>
      <c r="J157" s="11" t="s">
        <v>1357</v>
      </c>
      <c r="K157" s="12" t="s">
        <v>25</v>
      </c>
      <c r="L157" s="11" t="s">
        <v>1358</v>
      </c>
      <c r="M157" s="11" t="s">
        <v>43</v>
      </c>
      <c r="N157" s="11" t="s">
        <v>54</v>
      </c>
      <c r="O157" s="11" t="s">
        <v>45</v>
      </c>
      <c r="P157" s="11" t="s">
        <v>1359</v>
      </c>
    </row>
    <row r="158" customFormat="false" ht="85.5" hidden="false" customHeight="true" outlineLevel="0" collapsed="false">
      <c r="A158" s="9" t="s">
        <v>1360</v>
      </c>
      <c r="B158" s="9" t="s">
        <v>1295</v>
      </c>
      <c r="C158" s="9" t="s">
        <v>1344</v>
      </c>
      <c r="D158" s="9" t="s">
        <v>35</v>
      </c>
      <c r="E158" s="9" t="s">
        <v>389</v>
      </c>
      <c r="F158" s="9" t="s">
        <v>1361</v>
      </c>
      <c r="G158" s="9" t="s">
        <v>693</v>
      </c>
      <c r="H158" s="9" t="s">
        <v>1362</v>
      </c>
      <c r="I158" s="9" t="s">
        <v>1363</v>
      </c>
      <c r="J158" s="9" t="s">
        <v>1364</v>
      </c>
      <c r="K158" s="10" t="s">
        <v>25</v>
      </c>
      <c r="L158" s="9" t="s">
        <v>1365</v>
      </c>
      <c r="M158" s="9" t="s">
        <v>43</v>
      </c>
      <c r="N158" s="9" t="s">
        <v>54</v>
      </c>
      <c r="O158" s="9" t="s">
        <v>45</v>
      </c>
      <c r="P158" s="9" t="s">
        <v>1351</v>
      </c>
    </row>
    <row r="159" customFormat="false" ht="85.5" hidden="false" customHeight="true" outlineLevel="0" collapsed="false">
      <c r="A159" s="11" t="s">
        <v>1366</v>
      </c>
      <c r="B159" s="11" t="s">
        <v>1295</v>
      </c>
      <c r="C159" s="11" t="s">
        <v>1344</v>
      </c>
      <c r="D159" s="11" t="s">
        <v>35</v>
      </c>
      <c r="E159" s="11" t="s">
        <v>118</v>
      </c>
      <c r="F159" s="11" t="s">
        <v>1367</v>
      </c>
      <c r="G159" s="11" t="s">
        <v>1368</v>
      </c>
      <c r="H159" s="11" t="s">
        <v>1369</v>
      </c>
      <c r="I159" s="11" t="s">
        <v>1370</v>
      </c>
      <c r="J159" s="11" t="s">
        <v>1371</v>
      </c>
      <c r="K159" s="12" t="s">
        <v>25</v>
      </c>
      <c r="L159" s="11" t="s">
        <v>1372</v>
      </c>
      <c r="M159" s="11" t="s">
        <v>43</v>
      </c>
      <c r="N159" s="11" t="s">
        <v>54</v>
      </c>
      <c r="O159" s="11" t="s">
        <v>45</v>
      </c>
      <c r="P159" s="11" t="s">
        <v>1303</v>
      </c>
    </row>
    <row r="160" customFormat="false" ht="85.5" hidden="false" customHeight="true" outlineLevel="0" collapsed="false">
      <c r="A160" s="9" t="s">
        <v>1373</v>
      </c>
      <c r="B160" s="9" t="s">
        <v>1295</v>
      </c>
      <c r="C160" s="9" t="s">
        <v>1374</v>
      </c>
      <c r="D160" s="9" t="s">
        <v>35</v>
      </c>
      <c r="E160" s="9" t="s">
        <v>389</v>
      </c>
      <c r="F160" s="9" t="s">
        <v>1375</v>
      </c>
      <c r="G160" s="9" t="s">
        <v>1376</v>
      </c>
      <c r="H160" s="9" t="s">
        <v>1377</v>
      </c>
      <c r="I160" s="9" t="s">
        <v>1378</v>
      </c>
      <c r="J160" s="9" t="s">
        <v>1379</v>
      </c>
      <c r="K160" s="10" t="s">
        <v>25</v>
      </c>
      <c r="L160" s="9" t="s">
        <v>1380</v>
      </c>
      <c r="M160" s="9" t="s">
        <v>549</v>
      </c>
      <c r="N160" s="9" t="s">
        <v>793</v>
      </c>
      <c r="O160" s="9" t="s">
        <v>45</v>
      </c>
      <c r="P160" s="9" t="s">
        <v>1335</v>
      </c>
    </row>
    <row r="161" customFormat="false" ht="85.5" hidden="false" customHeight="true" outlineLevel="0" collapsed="false">
      <c r="A161" s="11" t="s">
        <v>1381</v>
      </c>
      <c r="B161" s="11" t="s">
        <v>1295</v>
      </c>
      <c r="C161" s="11" t="s">
        <v>1374</v>
      </c>
      <c r="D161" s="11" t="s">
        <v>35</v>
      </c>
      <c r="E161" s="11" t="s">
        <v>188</v>
      </c>
      <c r="F161" s="11" t="s">
        <v>1382</v>
      </c>
      <c r="G161" s="11" t="s">
        <v>1383</v>
      </c>
      <c r="H161" s="11" t="s">
        <v>1384</v>
      </c>
      <c r="I161" s="11" t="s">
        <v>1385</v>
      </c>
      <c r="J161" s="11" t="s">
        <v>1386</v>
      </c>
      <c r="K161" s="12" t="s">
        <v>25</v>
      </c>
      <c r="L161" s="11" t="s">
        <v>1387</v>
      </c>
      <c r="M161" s="11" t="s">
        <v>43</v>
      </c>
      <c r="N161" s="11" t="s">
        <v>54</v>
      </c>
      <c r="O161" s="11" t="s">
        <v>45</v>
      </c>
      <c r="P161" s="11" t="s">
        <v>1359</v>
      </c>
    </row>
    <row r="162" customFormat="false" ht="85.5" hidden="false" customHeight="true" outlineLevel="0" collapsed="false">
      <c r="A162" s="9" t="s">
        <v>1388</v>
      </c>
      <c r="B162" s="9" t="s">
        <v>1295</v>
      </c>
      <c r="C162" s="9" t="s">
        <v>1374</v>
      </c>
      <c r="D162" s="9" t="s">
        <v>35</v>
      </c>
      <c r="E162" s="9" t="s">
        <v>389</v>
      </c>
      <c r="F162" s="9" t="s">
        <v>1389</v>
      </c>
      <c r="G162" s="9" t="s">
        <v>1390</v>
      </c>
      <c r="H162" s="9" t="s">
        <v>1391</v>
      </c>
      <c r="I162" s="9" t="s">
        <v>1392</v>
      </c>
      <c r="J162" s="9" t="s">
        <v>1393</v>
      </c>
      <c r="K162" s="10" t="s">
        <v>25</v>
      </c>
      <c r="L162" s="9" t="s">
        <v>1394</v>
      </c>
      <c r="M162" s="9" t="s">
        <v>549</v>
      </c>
      <c r="N162" s="9" t="s">
        <v>54</v>
      </c>
      <c r="O162" s="9" t="s">
        <v>45</v>
      </c>
      <c r="P162" s="9" t="s">
        <v>1351</v>
      </c>
    </row>
    <row r="163" customFormat="false" ht="85.5" hidden="false" customHeight="true" outlineLevel="0" collapsed="false">
      <c r="A163" s="11" t="s">
        <v>1395</v>
      </c>
      <c r="B163" s="11" t="s">
        <v>1295</v>
      </c>
      <c r="C163" s="11" t="s">
        <v>1396</v>
      </c>
      <c r="D163" s="11" t="s">
        <v>35</v>
      </c>
      <c r="E163" s="11" t="s">
        <v>118</v>
      </c>
      <c r="F163" s="11" t="s">
        <v>1397</v>
      </c>
      <c r="G163" s="11" t="s">
        <v>1398</v>
      </c>
      <c r="H163" s="11" t="s">
        <v>1399</v>
      </c>
      <c r="I163" s="11" t="s">
        <v>287</v>
      </c>
      <c r="J163" s="11" t="s">
        <v>1400</v>
      </c>
      <c r="K163" s="12" t="s">
        <v>25</v>
      </c>
      <c r="L163" s="11" t="s">
        <v>1401</v>
      </c>
      <c r="M163" s="11" t="s">
        <v>43</v>
      </c>
      <c r="N163" s="11" t="s">
        <v>64</v>
      </c>
      <c r="O163" s="11" t="s">
        <v>45</v>
      </c>
      <c r="P163" s="11" t="s">
        <v>1402</v>
      </c>
    </row>
    <row r="164" customFormat="false" ht="85.5" hidden="false" customHeight="true" outlineLevel="0" collapsed="false">
      <c r="A164" s="9" t="s">
        <v>1403</v>
      </c>
      <c r="B164" s="9" t="s">
        <v>1295</v>
      </c>
      <c r="C164" s="9" t="s">
        <v>1396</v>
      </c>
      <c r="D164" s="9" t="s">
        <v>35</v>
      </c>
      <c r="E164" s="9" t="s">
        <v>36</v>
      </c>
      <c r="F164" s="9" t="s">
        <v>1404</v>
      </c>
      <c r="G164" s="9" t="s">
        <v>1405</v>
      </c>
      <c r="H164" s="9" t="s">
        <v>1406</v>
      </c>
      <c r="I164" s="9" t="s">
        <v>1407</v>
      </c>
      <c r="J164" s="9" t="s">
        <v>1408</v>
      </c>
      <c r="K164" s="10" t="s">
        <v>25</v>
      </c>
      <c r="L164" s="9" t="s">
        <v>1409</v>
      </c>
      <c r="M164" s="9" t="s">
        <v>43</v>
      </c>
      <c r="N164" s="9" t="s">
        <v>54</v>
      </c>
      <c r="O164" s="9" t="s">
        <v>45</v>
      </c>
      <c r="P164" s="9" t="s">
        <v>1410</v>
      </c>
    </row>
    <row r="165" customFormat="false" ht="85.5" hidden="false" customHeight="true" outlineLevel="0" collapsed="false">
      <c r="A165" s="11" t="s">
        <v>1411</v>
      </c>
      <c r="B165" s="11" t="s">
        <v>1295</v>
      </c>
      <c r="C165" s="11" t="s">
        <v>1396</v>
      </c>
      <c r="D165" s="11" t="s">
        <v>35</v>
      </c>
      <c r="E165" s="11" t="s">
        <v>57</v>
      </c>
      <c r="F165" s="11" t="s">
        <v>1412</v>
      </c>
      <c r="G165" s="11" t="s">
        <v>1413</v>
      </c>
      <c r="H165" s="11" t="s">
        <v>1414</v>
      </c>
      <c r="I165" s="11" t="s">
        <v>1415</v>
      </c>
      <c r="J165" s="11" t="s">
        <v>1416</v>
      </c>
      <c r="K165" s="12" t="s">
        <v>25</v>
      </c>
      <c r="L165" s="11" t="s">
        <v>1417</v>
      </c>
      <c r="M165" s="11" t="s">
        <v>43</v>
      </c>
      <c r="N165" s="11" t="s">
        <v>44</v>
      </c>
      <c r="O165" s="11" t="s">
        <v>45</v>
      </c>
      <c r="P165" s="11" t="s">
        <v>1311</v>
      </c>
    </row>
    <row r="166" customFormat="false" ht="85.5" hidden="false" customHeight="true" outlineLevel="0" collapsed="false">
      <c r="A166" s="9" t="s">
        <v>1418</v>
      </c>
      <c r="B166" s="9" t="s">
        <v>1295</v>
      </c>
      <c r="C166" s="9" t="s">
        <v>1419</v>
      </c>
      <c r="D166" s="9" t="s">
        <v>136</v>
      </c>
      <c r="E166" s="9" t="s">
        <v>36</v>
      </c>
      <c r="F166" s="9" t="s">
        <v>1420</v>
      </c>
      <c r="G166" s="9" t="s">
        <v>1421</v>
      </c>
      <c r="H166" s="9" t="s">
        <v>1422</v>
      </c>
      <c r="I166" s="9" t="s">
        <v>1423</v>
      </c>
      <c r="J166" s="9" t="s">
        <v>1424</v>
      </c>
      <c r="K166" s="10" t="s">
        <v>25</v>
      </c>
      <c r="L166" s="9" t="s">
        <v>1425</v>
      </c>
      <c r="M166" s="9" t="s">
        <v>43</v>
      </c>
      <c r="N166" s="9" t="s">
        <v>64</v>
      </c>
      <c r="O166" s="9" t="s">
        <v>45</v>
      </c>
      <c r="P166" s="9" t="s">
        <v>1426</v>
      </c>
    </row>
    <row r="167" customFormat="false" ht="85.5" hidden="false" customHeight="true" outlineLevel="0" collapsed="false">
      <c r="A167" s="11" t="s">
        <v>1427</v>
      </c>
      <c r="B167" s="11" t="s">
        <v>1295</v>
      </c>
      <c r="C167" s="11" t="s">
        <v>1419</v>
      </c>
      <c r="D167" s="11" t="s">
        <v>136</v>
      </c>
      <c r="E167" s="11" t="s">
        <v>57</v>
      </c>
      <c r="F167" s="11" t="s">
        <v>1428</v>
      </c>
      <c r="G167" s="11" t="s">
        <v>1429</v>
      </c>
      <c r="H167" s="11" t="s">
        <v>1430</v>
      </c>
      <c r="I167" s="11" t="s">
        <v>1431</v>
      </c>
      <c r="J167" s="11" t="s">
        <v>1432</v>
      </c>
      <c r="K167" s="12" t="s">
        <v>25</v>
      </c>
      <c r="L167" s="11" t="s">
        <v>1433</v>
      </c>
      <c r="M167" s="11" t="s">
        <v>43</v>
      </c>
      <c r="N167" s="11" t="s">
        <v>54</v>
      </c>
      <c r="O167" s="11" t="s">
        <v>45</v>
      </c>
      <c r="P167" s="11" t="s">
        <v>1434</v>
      </c>
    </row>
    <row r="168" customFormat="false" ht="85.5" hidden="false" customHeight="true" outlineLevel="0" collapsed="false">
      <c r="A168" s="9" t="s">
        <v>1435</v>
      </c>
      <c r="B168" s="9" t="s">
        <v>1295</v>
      </c>
      <c r="C168" s="9" t="s">
        <v>1419</v>
      </c>
      <c r="D168" s="9" t="s">
        <v>136</v>
      </c>
      <c r="E168" s="9" t="s">
        <v>389</v>
      </c>
      <c r="F168" s="9" t="s">
        <v>1436</v>
      </c>
      <c r="G168" s="9" t="s">
        <v>1437</v>
      </c>
      <c r="H168" s="9" t="s">
        <v>1438</v>
      </c>
      <c r="I168" s="9" t="s">
        <v>1439</v>
      </c>
      <c r="J168" s="9" t="s">
        <v>1440</v>
      </c>
      <c r="K168" s="10" t="s">
        <v>25</v>
      </c>
      <c r="L168" s="9" t="s">
        <v>1441</v>
      </c>
      <c r="M168" s="9" t="s">
        <v>549</v>
      </c>
      <c r="N168" s="9" t="s">
        <v>793</v>
      </c>
      <c r="O168" s="9" t="s">
        <v>45</v>
      </c>
      <c r="P168" s="9" t="s">
        <v>1335</v>
      </c>
    </row>
    <row r="169" customFormat="false" ht="85.5" hidden="false" customHeight="true" outlineLevel="0" collapsed="false">
      <c r="A169" s="11" t="s">
        <v>1442</v>
      </c>
      <c r="B169" s="11" t="s">
        <v>1295</v>
      </c>
      <c r="C169" s="11" t="s">
        <v>1313</v>
      </c>
      <c r="D169" s="11" t="s">
        <v>35</v>
      </c>
      <c r="E169" s="11" t="s">
        <v>188</v>
      </c>
      <c r="F169" s="11" t="s">
        <v>1443</v>
      </c>
      <c r="G169" s="11" t="s">
        <v>1444</v>
      </c>
      <c r="H169" s="11" t="s">
        <v>1156</v>
      </c>
      <c r="I169" s="11" t="s">
        <v>1445</v>
      </c>
      <c r="J169" s="11" t="s">
        <v>1446</v>
      </c>
      <c r="K169" s="12" t="s">
        <v>25</v>
      </c>
      <c r="L169" s="11" t="s">
        <v>1447</v>
      </c>
      <c r="M169" s="11" t="s">
        <v>43</v>
      </c>
      <c r="N169" s="11" t="s">
        <v>54</v>
      </c>
      <c r="O169" s="11" t="s">
        <v>45</v>
      </c>
      <c r="P169" s="11" t="s">
        <v>1448</v>
      </c>
    </row>
    <row r="170" customFormat="false" ht="85.5" hidden="false" customHeight="true" outlineLevel="0" collapsed="false">
      <c r="A170" s="9" t="s">
        <v>1449</v>
      </c>
      <c r="B170" s="9" t="s">
        <v>1450</v>
      </c>
      <c r="C170" s="9" t="s">
        <v>1451</v>
      </c>
      <c r="D170" s="9" t="s">
        <v>35</v>
      </c>
      <c r="E170" s="9" t="s">
        <v>389</v>
      </c>
      <c r="F170" s="9" t="s">
        <v>1452</v>
      </c>
      <c r="G170" s="9" t="s">
        <v>1453</v>
      </c>
      <c r="H170" s="9" t="s">
        <v>1454</v>
      </c>
      <c r="I170" s="9" t="s">
        <v>1455</v>
      </c>
      <c r="J170" s="9" t="s">
        <v>1456</v>
      </c>
      <c r="K170" s="10" t="s">
        <v>25</v>
      </c>
      <c r="L170" s="9" t="s">
        <v>1457</v>
      </c>
      <c r="M170" s="9" t="s">
        <v>549</v>
      </c>
      <c r="N170" s="9" t="s">
        <v>793</v>
      </c>
      <c r="O170" s="9" t="s">
        <v>45</v>
      </c>
      <c r="P170" s="9" t="s">
        <v>1458</v>
      </c>
    </row>
    <row r="171" customFormat="false" ht="85.5" hidden="false" customHeight="true" outlineLevel="0" collapsed="false">
      <c r="A171" s="11" t="s">
        <v>1459</v>
      </c>
      <c r="B171" s="11" t="s">
        <v>1450</v>
      </c>
      <c r="C171" s="11" t="s">
        <v>1451</v>
      </c>
      <c r="D171" s="11" t="s">
        <v>35</v>
      </c>
      <c r="E171" s="11" t="s">
        <v>389</v>
      </c>
      <c r="F171" s="11" t="s">
        <v>1460</v>
      </c>
      <c r="G171" s="11" t="s">
        <v>1461</v>
      </c>
      <c r="H171" s="11" t="s">
        <v>1462</v>
      </c>
      <c r="I171" s="11" t="s">
        <v>1463</v>
      </c>
      <c r="J171" s="11" t="s">
        <v>1464</v>
      </c>
      <c r="K171" s="12" t="s">
        <v>25</v>
      </c>
      <c r="L171" s="11" t="s">
        <v>1465</v>
      </c>
      <c r="M171" s="11" t="s">
        <v>549</v>
      </c>
      <c r="N171" s="11" t="s">
        <v>54</v>
      </c>
      <c r="O171" s="11" t="s">
        <v>45</v>
      </c>
      <c r="P171" s="11" t="s">
        <v>1466</v>
      </c>
    </row>
    <row r="172" customFormat="false" ht="85.5" hidden="false" customHeight="true" outlineLevel="0" collapsed="false">
      <c r="A172" s="9" t="s">
        <v>1467</v>
      </c>
      <c r="B172" s="9" t="s">
        <v>1450</v>
      </c>
      <c r="C172" s="9" t="s">
        <v>1451</v>
      </c>
      <c r="D172" s="9" t="s">
        <v>35</v>
      </c>
      <c r="E172" s="9" t="s">
        <v>389</v>
      </c>
      <c r="F172" s="9" t="s">
        <v>1468</v>
      </c>
      <c r="G172" s="9" t="s">
        <v>1469</v>
      </c>
      <c r="H172" s="9" t="s">
        <v>1470</v>
      </c>
      <c r="I172" s="9" t="s">
        <v>1471</v>
      </c>
      <c r="J172" s="9" t="s">
        <v>1472</v>
      </c>
      <c r="K172" s="10" t="s">
        <v>25</v>
      </c>
      <c r="L172" s="9" t="s">
        <v>1473</v>
      </c>
      <c r="M172" s="9" t="s">
        <v>549</v>
      </c>
      <c r="N172" s="9" t="s">
        <v>54</v>
      </c>
      <c r="O172" s="9" t="s">
        <v>45</v>
      </c>
      <c r="P172" s="9" t="s">
        <v>1474</v>
      </c>
    </row>
    <row r="173" customFormat="false" ht="85.5" hidden="false" customHeight="true" outlineLevel="0" collapsed="false">
      <c r="A173" s="11" t="s">
        <v>1475</v>
      </c>
      <c r="B173" s="11" t="s">
        <v>1450</v>
      </c>
      <c r="C173" s="11" t="s">
        <v>1451</v>
      </c>
      <c r="D173" s="11" t="s">
        <v>35</v>
      </c>
      <c r="E173" s="11" t="s">
        <v>389</v>
      </c>
      <c r="F173" s="11" t="s">
        <v>1476</v>
      </c>
      <c r="G173" s="11" t="s">
        <v>1477</v>
      </c>
      <c r="H173" s="11" t="s">
        <v>1478</v>
      </c>
      <c r="I173" s="11" t="s">
        <v>1479</v>
      </c>
      <c r="J173" s="11" t="s">
        <v>1480</v>
      </c>
      <c r="K173" s="12" t="s">
        <v>25</v>
      </c>
      <c r="L173" s="11" t="s">
        <v>1481</v>
      </c>
      <c r="M173" s="11" t="s">
        <v>549</v>
      </c>
      <c r="N173" s="11" t="s">
        <v>793</v>
      </c>
      <c r="O173" s="11" t="s">
        <v>45</v>
      </c>
      <c r="P173" s="11" t="s">
        <v>1482</v>
      </c>
    </row>
    <row r="174" customFormat="false" ht="85.5" hidden="false" customHeight="true" outlineLevel="0" collapsed="false">
      <c r="A174" s="9" t="s">
        <v>1483</v>
      </c>
      <c r="B174" s="9" t="s">
        <v>1450</v>
      </c>
      <c r="C174" s="9" t="s">
        <v>1451</v>
      </c>
      <c r="D174" s="9" t="s">
        <v>35</v>
      </c>
      <c r="E174" s="9" t="s">
        <v>389</v>
      </c>
      <c r="F174" s="9" t="s">
        <v>1484</v>
      </c>
      <c r="G174" s="9" t="s">
        <v>1485</v>
      </c>
      <c r="H174" s="9" t="s">
        <v>1486</v>
      </c>
      <c r="I174" s="9" t="s">
        <v>1487</v>
      </c>
      <c r="J174" s="9" t="s">
        <v>1349</v>
      </c>
      <c r="K174" s="10" t="s">
        <v>25</v>
      </c>
      <c r="L174" s="9" t="s">
        <v>1488</v>
      </c>
      <c r="M174" s="9" t="s">
        <v>549</v>
      </c>
      <c r="N174" s="9" t="s">
        <v>54</v>
      </c>
      <c r="O174" s="9" t="s">
        <v>45</v>
      </c>
      <c r="P174" s="9" t="s">
        <v>1489</v>
      </c>
    </row>
    <row r="175" customFormat="false" ht="85.5" hidden="false" customHeight="true" outlineLevel="0" collapsed="false">
      <c r="A175" s="11" t="s">
        <v>1490</v>
      </c>
      <c r="B175" s="11" t="s">
        <v>1450</v>
      </c>
      <c r="C175" s="11" t="s">
        <v>1491</v>
      </c>
      <c r="D175" s="11" t="s">
        <v>35</v>
      </c>
      <c r="E175" s="11" t="s">
        <v>389</v>
      </c>
      <c r="F175" s="11" t="s">
        <v>1492</v>
      </c>
      <c r="G175" s="11" t="s">
        <v>1493</v>
      </c>
      <c r="H175" s="11" t="s">
        <v>1494</v>
      </c>
      <c r="I175" s="11" t="s">
        <v>1495</v>
      </c>
      <c r="J175" s="11" t="s">
        <v>1496</v>
      </c>
      <c r="K175" s="12" t="s">
        <v>25</v>
      </c>
      <c r="L175" s="11" t="s">
        <v>1497</v>
      </c>
      <c r="M175" s="11" t="s">
        <v>549</v>
      </c>
      <c r="N175" s="11" t="s">
        <v>64</v>
      </c>
      <c r="O175" s="11" t="s">
        <v>45</v>
      </c>
      <c r="P175" s="11" t="s">
        <v>1498</v>
      </c>
    </row>
    <row r="176" customFormat="false" ht="85.5" hidden="false" customHeight="true" outlineLevel="0" collapsed="false">
      <c r="A176" s="9" t="s">
        <v>1499</v>
      </c>
      <c r="B176" s="9" t="s">
        <v>1450</v>
      </c>
      <c r="C176" s="9" t="s">
        <v>1500</v>
      </c>
      <c r="D176" s="9" t="s">
        <v>35</v>
      </c>
      <c r="E176" s="9" t="s">
        <v>389</v>
      </c>
      <c r="F176" s="9" t="s">
        <v>1501</v>
      </c>
      <c r="G176" s="9" t="s">
        <v>1502</v>
      </c>
      <c r="H176" s="9" t="s">
        <v>1503</v>
      </c>
      <c r="I176" s="9" t="s">
        <v>1504</v>
      </c>
      <c r="J176" s="9" t="s">
        <v>1505</v>
      </c>
      <c r="K176" s="10" t="s">
        <v>26</v>
      </c>
      <c r="L176" s="9" t="s">
        <v>1506</v>
      </c>
      <c r="M176" s="9" t="s">
        <v>549</v>
      </c>
      <c r="N176" s="9" t="s">
        <v>793</v>
      </c>
      <c r="O176" s="9" t="s">
        <v>45</v>
      </c>
      <c r="P176" s="9" t="s">
        <v>1507</v>
      </c>
    </row>
    <row r="177" customFormat="false" ht="85.5" hidden="false" customHeight="true" outlineLevel="0" collapsed="false">
      <c r="A177" s="11" t="s">
        <v>1508</v>
      </c>
      <c r="B177" s="11" t="s">
        <v>1450</v>
      </c>
      <c r="C177" s="11" t="s">
        <v>1491</v>
      </c>
      <c r="D177" s="11" t="s">
        <v>35</v>
      </c>
      <c r="E177" s="11" t="s">
        <v>188</v>
      </c>
      <c r="F177" s="11" t="s">
        <v>1509</v>
      </c>
      <c r="G177" s="11" t="s">
        <v>1510</v>
      </c>
      <c r="H177" s="11" t="s">
        <v>1511</v>
      </c>
      <c r="I177" s="11" t="s">
        <v>1512</v>
      </c>
      <c r="J177" s="11" t="s">
        <v>1513</v>
      </c>
      <c r="K177" s="12" t="s">
        <v>25</v>
      </c>
      <c r="L177" s="11" t="s">
        <v>1514</v>
      </c>
      <c r="M177" s="11" t="s">
        <v>549</v>
      </c>
      <c r="N177" s="11" t="s">
        <v>793</v>
      </c>
      <c r="O177" s="11" t="s">
        <v>45</v>
      </c>
      <c r="P177" s="11" t="s">
        <v>1515</v>
      </c>
    </row>
    <row r="178" customFormat="false" ht="85.5" hidden="false" customHeight="true" outlineLevel="0" collapsed="false">
      <c r="A178" s="9" t="s">
        <v>1516</v>
      </c>
      <c r="B178" s="9" t="s">
        <v>1450</v>
      </c>
      <c r="C178" s="9" t="s">
        <v>1500</v>
      </c>
      <c r="D178" s="9" t="s">
        <v>35</v>
      </c>
      <c r="E178" s="9" t="s">
        <v>57</v>
      </c>
      <c r="F178" s="9" t="s">
        <v>1517</v>
      </c>
      <c r="G178" s="9" t="s">
        <v>1145</v>
      </c>
      <c r="H178" s="9" t="s">
        <v>1518</v>
      </c>
      <c r="I178" s="9" t="s">
        <v>1519</v>
      </c>
      <c r="J178" s="9" t="s">
        <v>1520</v>
      </c>
      <c r="K178" s="10" t="s">
        <v>25</v>
      </c>
      <c r="L178" s="9" t="s">
        <v>1521</v>
      </c>
      <c r="M178" s="9" t="s">
        <v>549</v>
      </c>
      <c r="N178" s="9" t="s">
        <v>54</v>
      </c>
      <c r="O178" s="9" t="s">
        <v>45</v>
      </c>
      <c r="P178" s="9" t="s">
        <v>1522</v>
      </c>
    </row>
    <row r="179" customFormat="false" ht="85.5" hidden="false" customHeight="true" outlineLevel="0" collapsed="false">
      <c r="A179" s="11" t="s">
        <v>1523</v>
      </c>
      <c r="B179" s="11" t="s">
        <v>1450</v>
      </c>
      <c r="C179" s="11" t="s">
        <v>1524</v>
      </c>
      <c r="D179" s="11" t="s">
        <v>35</v>
      </c>
      <c r="E179" s="11" t="s">
        <v>389</v>
      </c>
      <c r="F179" s="11" t="s">
        <v>1525</v>
      </c>
      <c r="G179" s="11" t="s">
        <v>1526</v>
      </c>
      <c r="H179" s="11" t="s">
        <v>1527</v>
      </c>
      <c r="I179" s="11" t="s">
        <v>1528</v>
      </c>
      <c r="J179" s="11" t="s">
        <v>1529</v>
      </c>
      <c r="K179" s="12" t="s">
        <v>25</v>
      </c>
      <c r="L179" s="11" t="s">
        <v>1530</v>
      </c>
      <c r="M179" s="11" t="s">
        <v>549</v>
      </c>
      <c r="N179" s="11" t="s">
        <v>793</v>
      </c>
      <c r="O179" s="11" t="s">
        <v>45</v>
      </c>
      <c r="P179" s="11" t="s">
        <v>1531</v>
      </c>
    </row>
    <row r="180" customFormat="false" ht="85.5" hidden="false" customHeight="true" outlineLevel="0" collapsed="false">
      <c r="A180" s="9" t="s">
        <v>1532</v>
      </c>
      <c r="B180" s="9" t="s">
        <v>1450</v>
      </c>
      <c r="C180" s="9" t="s">
        <v>1524</v>
      </c>
      <c r="D180" s="9" t="s">
        <v>35</v>
      </c>
      <c r="E180" s="9" t="s">
        <v>389</v>
      </c>
      <c r="F180" s="9" t="s">
        <v>1533</v>
      </c>
      <c r="G180" s="9" t="s">
        <v>73</v>
      </c>
      <c r="H180" s="9" t="s">
        <v>1534</v>
      </c>
      <c r="I180" s="9" t="s">
        <v>1535</v>
      </c>
      <c r="J180" s="9" t="s">
        <v>1349</v>
      </c>
      <c r="K180" s="10" t="s">
        <v>25</v>
      </c>
      <c r="L180" s="9" t="s">
        <v>1536</v>
      </c>
      <c r="M180" s="9" t="s">
        <v>549</v>
      </c>
      <c r="N180" s="9" t="s">
        <v>793</v>
      </c>
      <c r="O180" s="9" t="s">
        <v>45</v>
      </c>
      <c r="P180" s="9" t="s">
        <v>1537</v>
      </c>
    </row>
    <row r="181" customFormat="false" ht="85.5" hidden="false" customHeight="true" outlineLevel="0" collapsed="false">
      <c r="A181" s="11" t="s">
        <v>1538</v>
      </c>
      <c r="B181" s="11" t="s">
        <v>1450</v>
      </c>
      <c r="C181" s="11" t="s">
        <v>1524</v>
      </c>
      <c r="D181" s="11" t="s">
        <v>35</v>
      </c>
      <c r="E181" s="11" t="s">
        <v>389</v>
      </c>
      <c r="F181" s="11" t="s">
        <v>1539</v>
      </c>
      <c r="G181" s="11" t="s">
        <v>1540</v>
      </c>
      <c r="H181" s="11" t="s">
        <v>1541</v>
      </c>
      <c r="I181" s="11" t="s">
        <v>1542</v>
      </c>
      <c r="J181" s="11" t="s">
        <v>1543</v>
      </c>
      <c r="K181" s="12" t="s">
        <v>25</v>
      </c>
      <c r="L181" s="11" t="s">
        <v>1544</v>
      </c>
      <c r="M181" s="11" t="s">
        <v>549</v>
      </c>
      <c r="N181" s="11" t="s">
        <v>793</v>
      </c>
      <c r="O181" s="11" t="s">
        <v>45</v>
      </c>
      <c r="P181" s="11" t="s">
        <v>1545</v>
      </c>
    </row>
    <row r="182" customFormat="false" ht="85.5" hidden="false" customHeight="true" outlineLevel="0" collapsed="false">
      <c r="A182" s="9" t="s">
        <v>1546</v>
      </c>
      <c r="B182" s="9" t="s">
        <v>1450</v>
      </c>
      <c r="C182" s="9" t="s">
        <v>1547</v>
      </c>
      <c r="D182" s="9" t="s">
        <v>35</v>
      </c>
      <c r="E182" s="9" t="s">
        <v>389</v>
      </c>
      <c r="F182" s="9" t="s">
        <v>1548</v>
      </c>
      <c r="G182" s="9" t="s">
        <v>1549</v>
      </c>
      <c r="H182" s="9" t="s">
        <v>1550</v>
      </c>
      <c r="I182" s="9" t="s">
        <v>1551</v>
      </c>
      <c r="J182" s="9" t="s">
        <v>1552</v>
      </c>
      <c r="K182" s="10" t="s">
        <v>25</v>
      </c>
      <c r="L182" s="9" t="s">
        <v>1553</v>
      </c>
      <c r="M182" s="9" t="s">
        <v>549</v>
      </c>
      <c r="N182" s="9" t="s">
        <v>793</v>
      </c>
      <c r="O182" s="9" t="s">
        <v>45</v>
      </c>
      <c r="P182" s="9" t="s">
        <v>1554</v>
      </c>
    </row>
    <row r="183" customFormat="false" ht="85.5" hidden="false" customHeight="true" outlineLevel="0" collapsed="false">
      <c r="A183" s="11" t="s">
        <v>1555</v>
      </c>
      <c r="B183" s="11" t="s">
        <v>1450</v>
      </c>
      <c r="C183" s="11" t="s">
        <v>1547</v>
      </c>
      <c r="D183" s="11" t="s">
        <v>35</v>
      </c>
      <c r="E183" s="11" t="s">
        <v>389</v>
      </c>
      <c r="F183" s="11" t="s">
        <v>1556</v>
      </c>
      <c r="G183" s="11" t="s">
        <v>1557</v>
      </c>
      <c r="H183" s="11" t="s">
        <v>1558</v>
      </c>
      <c r="I183" s="11" t="s">
        <v>1559</v>
      </c>
      <c r="J183" s="11" t="s">
        <v>1560</v>
      </c>
      <c r="K183" s="12" t="s">
        <v>25</v>
      </c>
      <c r="L183" s="11" t="s">
        <v>1561</v>
      </c>
      <c r="M183" s="11" t="s">
        <v>549</v>
      </c>
      <c r="N183" s="11" t="s">
        <v>44</v>
      </c>
      <c r="O183" s="11" t="s">
        <v>45</v>
      </c>
      <c r="P183" s="11" t="s">
        <v>1562</v>
      </c>
    </row>
    <row r="184" customFormat="false" ht="85.5" hidden="false" customHeight="true" outlineLevel="0" collapsed="false">
      <c r="A184" s="9" t="s">
        <v>1563</v>
      </c>
      <c r="B184" s="9" t="s">
        <v>1450</v>
      </c>
      <c r="C184" s="9" t="s">
        <v>1564</v>
      </c>
      <c r="D184" s="9" t="s">
        <v>35</v>
      </c>
      <c r="E184" s="9" t="s">
        <v>389</v>
      </c>
      <c r="F184" s="9" t="s">
        <v>1565</v>
      </c>
      <c r="G184" s="9" t="s">
        <v>1566</v>
      </c>
      <c r="H184" s="9" t="s">
        <v>1567</v>
      </c>
      <c r="I184" s="9" t="s">
        <v>1568</v>
      </c>
      <c r="J184" s="9" t="s">
        <v>1569</v>
      </c>
      <c r="K184" s="10" t="s">
        <v>25</v>
      </c>
      <c r="L184" s="9" t="s">
        <v>1570</v>
      </c>
      <c r="M184" s="9" t="s">
        <v>549</v>
      </c>
      <c r="N184" s="9" t="s">
        <v>793</v>
      </c>
      <c r="O184" s="9" t="s">
        <v>45</v>
      </c>
      <c r="P184" s="9" t="s">
        <v>1482</v>
      </c>
    </row>
    <row r="185" customFormat="false" ht="85.5" hidden="false" customHeight="true" outlineLevel="0" collapsed="false">
      <c r="A185" s="11" t="s">
        <v>1571</v>
      </c>
      <c r="B185" s="11" t="s">
        <v>1450</v>
      </c>
      <c r="C185" s="11" t="s">
        <v>1572</v>
      </c>
      <c r="D185" s="11" t="s">
        <v>35</v>
      </c>
      <c r="E185" s="11" t="s">
        <v>188</v>
      </c>
      <c r="F185" s="11" t="s">
        <v>1573</v>
      </c>
      <c r="G185" s="11" t="s">
        <v>1574</v>
      </c>
      <c r="H185" s="11" t="s">
        <v>1575</v>
      </c>
      <c r="I185" s="11" t="s">
        <v>1576</v>
      </c>
      <c r="J185" s="11" t="s">
        <v>1577</v>
      </c>
      <c r="K185" s="12" t="s">
        <v>25</v>
      </c>
      <c r="L185" s="11" t="s">
        <v>1578</v>
      </c>
      <c r="M185" s="11" t="s">
        <v>549</v>
      </c>
      <c r="N185" s="11" t="s">
        <v>64</v>
      </c>
      <c r="O185" s="11" t="s">
        <v>45</v>
      </c>
      <c r="P185" s="11" t="s">
        <v>1579</v>
      </c>
    </row>
    <row r="186" customFormat="false" ht="85.5" hidden="false" customHeight="true" outlineLevel="0" collapsed="false">
      <c r="A186" s="9" t="s">
        <v>1580</v>
      </c>
      <c r="B186" s="9" t="s">
        <v>1450</v>
      </c>
      <c r="C186" s="9" t="s">
        <v>1581</v>
      </c>
      <c r="D186" s="9" t="s">
        <v>35</v>
      </c>
      <c r="E186" s="9" t="s">
        <v>188</v>
      </c>
      <c r="F186" s="9" t="s">
        <v>1582</v>
      </c>
      <c r="G186" s="9" t="s">
        <v>1583</v>
      </c>
      <c r="H186" s="9" t="s">
        <v>1584</v>
      </c>
      <c r="I186" s="9" t="s">
        <v>1585</v>
      </c>
      <c r="J186" s="9" t="s">
        <v>1586</v>
      </c>
      <c r="K186" s="10" t="s">
        <v>25</v>
      </c>
      <c r="L186" s="9" t="s">
        <v>1587</v>
      </c>
      <c r="M186" s="9" t="s">
        <v>549</v>
      </c>
      <c r="N186" s="9" t="s">
        <v>793</v>
      </c>
      <c r="O186" s="9" t="s">
        <v>45</v>
      </c>
      <c r="P186" s="9" t="s">
        <v>1588</v>
      </c>
    </row>
    <row r="187" customFormat="false" ht="85.5" hidden="false" customHeight="true" outlineLevel="0" collapsed="false">
      <c r="A187" s="11" t="s">
        <v>1589</v>
      </c>
      <c r="B187" s="11" t="s">
        <v>1450</v>
      </c>
      <c r="C187" s="11" t="s">
        <v>1590</v>
      </c>
      <c r="D187" s="11" t="s">
        <v>35</v>
      </c>
      <c r="E187" s="11" t="s">
        <v>188</v>
      </c>
      <c r="F187" s="11" t="s">
        <v>1591</v>
      </c>
      <c r="G187" s="11" t="s">
        <v>1592</v>
      </c>
      <c r="H187" s="11" t="s">
        <v>1593</v>
      </c>
      <c r="I187" s="11" t="s">
        <v>1594</v>
      </c>
      <c r="J187" s="11" t="s">
        <v>1595</v>
      </c>
      <c r="K187" s="12" t="s">
        <v>25</v>
      </c>
      <c r="L187" s="11" t="s">
        <v>1596</v>
      </c>
      <c r="M187" s="11" t="s">
        <v>549</v>
      </c>
      <c r="N187" s="11" t="s">
        <v>793</v>
      </c>
      <c r="O187" s="11" t="s">
        <v>45</v>
      </c>
      <c r="P187" s="11" t="s">
        <v>1597</v>
      </c>
    </row>
    <row r="188" customFormat="false" ht="85.5" hidden="false" customHeight="true" outlineLevel="0" collapsed="false">
      <c r="A188" s="9" t="s">
        <v>1598</v>
      </c>
      <c r="B188" s="9" t="s">
        <v>1450</v>
      </c>
      <c r="C188" s="9" t="s">
        <v>1524</v>
      </c>
      <c r="D188" s="9" t="s">
        <v>35</v>
      </c>
      <c r="E188" s="9" t="s">
        <v>389</v>
      </c>
      <c r="F188" s="9" t="s">
        <v>1599</v>
      </c>
      <c r="G188" s="9" t="s">
        <v>1600</v>
      </c>
      <c r="H188" s="9" t="s">
        <v>1601</v>
      </c>
      <c r="I188" s="9" t="s">
        <v>1602</v>
      </c>
      <c r="J188" s="9" t="s">
        <v>1603</v>
      </c>
      <c r="K188" s="10" t="s">
        <v>25</v>
      </c>
      <c r="L188" s="9" t="s">
        <v>1604</v>
      </c>
      <c r="M188" s="9" t="s">
        <v>549</v>
      </c>
      <c r="N188" s="9" t="s">
        <v>64</v>
      </c>
      <c r="O188" s="9" t="s">
        <v>45</v>
      </c>
      <c r="P188" s="9" t="s">
        <v>1531</v>
      </c>
    </row>
    <row r="189" customFormat="false" ht="85.5" hidden="false" customHeight="true" outlineLevel="0" collapsed="false">
      <c r="A189" s="11" t="s">
        <v>1605</v>
      </c>
      <c r="B189" s="11" t="s">
        <v>1606</v>
      </c>
      <c r="C189" s="11" t="s">
        <v>1607</v>
      </c>
      <c r="D189" s="11" t="s">
        <v>35</v>
      </c>
      <c r="E189" s="11" t="s">
        <v>188</v>
      </c>
      <c r="F189" s="11" t="s">
        <v>1608</v>
      </c>
      <c r="G189" s="11" t="s">
        <v>1609</v>
      </c>
      <c r="H189" s="11" t="s">
        <v>1610</v>
      </c>
      <c r="I189" s="11" t="s">
        <v>1611</v>
      </c>
      <c r="J189" s="11" t="s">
        <v>1178</v>
      </c>
      <c r="K189" s="12" t="s">
        <v>24</v>
      </c>
      <c r="L189" s="11" t="s">
        <v>1612</v>
      </c>
      <c r="M189" s="11" t="s">
        <v>43</v>
      </c>
      <c r="N189" s="11" t="s">
        <v>64</v>
      </c>
      <c r="O189" s="11" t="s">
        <v>45</v>
      </c>
      <c r="P189" s="11" t="s">
        <v>1613</v>
      </c>
    </row>
    <row r="190" customFormat="false" ht="85.5" hidden="false" customHeight="true" outlineLevel="0" collapsed="false">
      <c r="A190" s="9" t="s">
        <v>1614</v>
      </c>
      <c r="B190" s="9" t="s">
        <v>1606</v>
      </c>
      <c r="C190" s="9" t="s">
        <v>1607</v>
      </c>
      <c r="D190" s="9" t="s">
        <v>35</v>
      </c>
      <c r="E190" s="9" t="s">
        <v>118</v>
      </c>
      <c r="F190" s="9" t="s">
        <v>1615</v>
      </c>
      <c r="G190" s="9" t="s">
        <v>1616</v>
      </c>
      <c r="H190" s="9" t="s">
        <v>1617</v>
      </c>
      <c r="I190" s="9" t="s">
        <v>1618</v>
      </c>
      <c r="J190" s="9" t="s">
        <v>1619</v>
      </c>
      <c r="K190" s="10" t="s">
        <v>25</v>
      </c>
      <c r="L190" s="9" t="s">
        <v>1620</v>
      </c>
      <c r="M190" s="9" t="s">
        <v>43</v>
      </c>
      <c r="N190" s="9" t="s">
        <v>64</v>
      </c>
      <c r="O190" s="9" t="s">
        <v>45</v>
      </c>
      <c r="P190" s="9" t="s">
        <v>1613</v>
      </c>
    </row>
    <row r="191" customFormat="false" ht="85.5" hidden="false" customHeight="true" outlineLevel="0" collapsed="false">
      <c r="A191" s="11" t="s">
        <v>1621</v>
      </c>
      <c r="B191" s="11" t="s">
        <v>1606</v>
      </c>
      <c r="C191" s="11" t="s">
        <v>1622</v>
      </c>
      <c r="D191" s="11" t="s">
        <v>35</v>
      </c>
      <c r="E191" s="11" t="s">
        <v>36</v>
      </c>
      <c r="F191" s="11" t="s">
        <v>1623</v>
      </c>
      <c r="G191" s="11" t="s">
        <v>1444</v>
      </c>
      <c r="H191" s="11" t="s">
        <v>1624</v>
      </c>
      <c r="I191" s="11" t="s">
        <v>1625</v>
      </c>
      <c r="J191" s="11" t="s">
        <v>1626</v>
      </c>
      <c r="K191" s="12" t="s">
        <v>25</v>
      </c>
      <c r="L191" s="11" t="s">
        <v>1627</v>
      </c>
      <c r="M191" s="11" t="s">
        <v>43</v>
      </c>
      <c r="N191" s="11" t="s">
        <v>64</v>
      </c>
      <c r="O191" s="11" t="s">
        <v>73</v>
      </c>
      <c r="P191" s="11" t="s">
        <v>1628</v>
      </c>
    </row>
    <row r="192" customFormat="false" ht="85.5" hidden="false" customHeight="true" outlineLevel="0" collapsed="false">
      <c r="A192" s="9" t="s">
        <v>1629</v>
      </c>
      <c r="B192" s="9" t="s">
        <v>1606</v>
      </c>
      <c r="C192" s="9" t="s">
        <v>1630</v>
      </c>
      <c r="D192" s="9" t="s">
        <v>35</v>
      </c>
      <c r="E192" s="9" t="s">
        <v>36</v>
      </c>
      <c r="F192" s="9" t="s">
        <v>1631</v>
      </c>
      <c r="G192" s="9" t="s">
        <v>45</v>
      </c>
      <c r="H192" s="9" t="s">
        <v>1632</v>
      </c>
      <c r="I192" s="9" t="s">
        <v>1633</v>
      </c>
      <c r="J192" s="9" t="s">
        <v>1634</v>
      </c>
      <c r="K192" s="10" t="s">
        <v>25</v>
      </c>
      <c r="L192" s="9" t="s">
        <v>1635</v>
      </c>
      <c r="M192" s="9" t="s">
        <v>43</v>
      </c>
      <c r="N192" s="9" t="s">
        <v>54</v>
      </c>
      <c r="O192" s="9" t="s">
        <v>45</v>
      </c>
      <c r="P192" s="9" t="s">
        <v>1636</v>
      </c>
    </row>
    <row r="193" customFormat="false" ht="85.5" hidden="false" customHeight="true" outlineLevel="0" collapsed="false">
      <c r="A193" s="11" t="s">
        <v>1637</v>
      </c>
      <c r="B193" s="11" t="s">
        <v>1606</v>
      </c>
      <c r="C193" s="11" t="s">
        <v>1622</v>
      </c>
      <c r="D193" s="11" t="s">
        <v>35</v>
      </c>
      <c r="E193" s="11" t="s">
        <v>188</v>
      </c>
      <c r="F193" s="11" t="s">
        <v>1638</v>
      </c>
      <c r="G193" s="11" t="s">
        <v>1639</v>
      </c>
      <c r="H193" s="11" t="s">
        <v>1640</v>
      </c>
      <c r="I193" s="11" t="s">
        <v>1204</v>
      </c>
      <c r="J193" s="11" t="s">
        <v>1641</v>
      </c>
      <c r="K193" s="12" t="s">
        <v>25</v>
      </c>
      <c r="L193" s="11" t="s">
        <v>1642</v>
      </c>
      <c r="M193" s="11" t="s">
        <v>43</v>
      </c>
      <c r="N193" s="11" t="s">
        <v>44</v>
      </c>
      <c r="O193" s="11" t="s">
        <v>45</v>
      </c>
      <c r="P193" s="11" t="s">
        <v>1643</v>
      </c>
    </row>
    <row r="194" customFormat="false" ht="85.5" hidden="false" customHeight="true" outlineLevel="0" collapsed="false">
      <c r="A194" s="9" t="s">
        <v>1644</v>
      </c>
      <c r="B194" s="9" t="s">
        <v>1606</v>
      </c>
      <c r="C194" s="9" t="s">
        <v>1622</v>
      </c>
      <c r="D194" s="9" t="s">
        <v>35</v>
      </c>
      <c r="E194" s="9" t="s">
        <v>188</v>
      </c>
      <c r="F194" s="9" t="s">
        <v>1645</v>
      </c>
      <c r="G194" s="9" t="s">
        <v>1646</v>
      </c>
      <c r="H194" s="9" t="s">
        <v>1647</v>
      </c>
      <c r="I194" s="9" t="s">
        <v>1648</v>
      </c>
      <c r="J194" s="9" t="s">
        <v>1649</v>
      </c>
      <c r="K194" s="10" t="s">
        <v>25</v>
      </c>
      <c r="L194" s="9" t="s">
        <v>1650</v>
      </c>
      <c r="M194" s="9" t="s">
        <v>43</v>
      </c>
      <c r="N194" s="9" t="s">
        <v>44</v>
      </c>
      <c r="O194" s="9" t="s">
        <v>45</v>
      </c>
      <c r="P194" s="9" t="s">
        <v>1651</v>
      </c>
    </row>
    <row r="195" customFormat="false" ht="85.5" hidden="false" customHeight="true" outlineLevel="0" collapsed="false">
      <c r="A195" s="11" t="s">
        <v>1652</v>
      </c>
      <c r="B195" s="11" t="s">
        <v>1606</v>
      </c>
      <c r="C195" s="11" t="s">
        <v>1622</v>
      </c>
      <c r="D195" s="11" t="s">
        <v>35</v>
      </c>
      <c r="E195" s="11" t="s">
        <v>389</v>
      </c>
      <c r="F195" s="11" t="s">
        <v>1653</v>
      </c>
      <c r="G195" s="11" t="s">
        <v>1654</v>
      </c>
      <c r="H195" s="11" t="s">
        <v>1655</v>
      </c>
      <c r="I195" s="11" t="s">
        <v>1656</v>
      </c>
      <c r="J195" s="11" t="s">
        <v>1657</v>
      </c>
      <c r="K195" s="12" t="s">
        <v>25</v>
      </c>
      <c r="L195" s="11" t="s">
        <v>1658</v>
      </c>
      <c r="M195" s="11" t="s">
        <v>549</v>
      </c>
      <c r="N195" s="11" t="s">
        <v>54</v>
      </c>
      <c r="O195" s="11" t="s">
        <v>45</v>
      </c>
      <c r="P195" s="11" t="s">
        <v>1659</v>
      </c>
    </row>
    <row r="196" customFormat="false" ht="85.5" hidden="false" customHeight="true" outlineLevel="0" collapsed="false">
      <c r="A196" s="9" t="s">
        <v>1660</v>
      </c>
      <c r="B196" s="9" t="s">
        <v>1606</v>
      </c>
      <c r="C196" s="9" t="s">
        <v>1622</v>
      </c>
      <c r="D196" s="9" t="s">
        <v>35</v>
      </c>
      <c r="E196" s="9" t="s">
        <v>389</v>
      </c>
      <c r="F196" s="9" t="s">
        <v>1661</v>
      </c>
      <c r="G196" s="9" t="s">
        <v>1592</v>
      </c>
      <c r="H196" s="9" t="s">
        <v>1662</v>
      </c>
      <c r="I196" s="9" t="s">
        <v>1663</v>
      </c>
      <c r="J196" s="9" t="s">
        <v>1664</v>
      </c>
      <c r="K196" s="10" t="s">
        <v>25</v>
      </c>
      <c r="L196" s="9" t="s">
        <v>1665</v>
      </c>
      <c r="M196" s="9" t="s">
        <v>549</v>
      </c>
      <c r="N196" s="9" t="s">
        <v>793</v>
      </c>
      <c r="O196" s="9" t="s">
        <v>45</v>
      </c>
      <c r="P196" s="9" t="s">
        <v>1666</v>
      </c>
    </row>
    <row r="197" customFormat="false" ht="85.5" hidden="false" customHeight="true" outlineLevel="0" collapsed="false">
      <c r="A197" s="11" t="s">
        <v>1667</v>
      </c>
      <c r="B197" s="11" t="s">
        <v>1606</v>
      </c>
      <c r="C197" s="11" t="s">
        <v>1668</v>
      </c>
      <c r="D197" s="11" t="s">
        <v>35</v>
      </c>
      <c r="E197" s="11" t="s">
        <v>188</v>
      </c>
      <c r="F197" s="11" t="s">
        <v>1669</v>
      </c>
      <c r="G197" s="11" t="s">
        <v>1670</v>
      </c>
      <c r="H197" s="11" t="s">
        <v>1671</v>
      </c>
      <c r="I197" s="11" t="s">
        <v>1672</v>
      </c>
      <c r="J197" s="11" t="s">
        <v>1673</v>
      </c>
      <c r="K197" s="12" t="s">
        <v>25</v>
      </c>
      <c r="L197" s="11" t="s">
        <v>1674</v>
      </c>
      <c r="M197" s="11" t="s">
        <v>43</v>
      </c>
      <c r="N197" s="11" t="s">
        <v>54</v>
      </c>
      <c r="O197" s="11" t="s">
        <v>45</v>
      </c>
      <c r="P197" s="11" t="s">
        <v>1675</v>
      </c>
    </row>
    <row r="198" customFormat="false" ht="85.5" hidden="false" customHeight="true" outlineLevel="0" collapsed="false">
      <c r="A198" s="9" t="s">
        <v>1676</v>
      </c>
      <c r="B198" s="9" t="s">
        <v>1606</v>
      </c>
      <c r="C198" s="9" t="s">
        <v>1668</v>
      </c>
      <c r="D198" s="9" t="s">
        <v>35</v>
      </c>
      <c r="E198" s="9" t="s">
        <v>389</v>
      </c>
      <c r="F198" s="9" t="s">
        <v>1677</v>
      </c>
      <c r="G198" s="9" t="s">
        <v>1678</v>
      </c>
      <c r="H198" s="9" t="s">
        <v>1679</v>
      </c>
      <c r="I198" s="9" t="s">
        <v>1680</v>
      </c>
      <c r="J198" s="9" t="s">
        <v>1681</v>
      </c>
      <c r="K198" s="10" t="s">
        <v>25</v>
      </c>
      <c r="L198" s="9" t="s">
        <v>1682</v>
      </c>
      <c r="M198" s="9" t="s">
        <v>549</v>
      </c>
      <c r="N198" s="9" t="s">
        <v>793</v>
      </c>
      <c r="O198" s="9" t="s">
        <v>45</v>
      </c>
      <c r="P198" s="9" t="s">
        <v>1683</v>
      </c>
    </row>
    <row r="199" customFormat="false" ht="85.5" hidden="false" customHeight="true" outlineLevel="0" collapsed="false">
      <c r="A199" s="11" t="s">
        <v>1684</v>
      </c>
      <c r="B199" s="11" t="s">
        <v>1606</v>
      </c>
      <c r="C199" s="11" t="s">
        <v>1685</v>
      </c>
      <c r="D199" s="11" t="s">
        <v>35</v>
      </c>
      <c r="E199" s="11" t="s">
        <v>118</v>
      </c>
      <c r="F199" s="11" t="s">
        <v>1686</v>
      </c>
      <c r="G199" s="11" t="s">
        <v>1687</v>
      </c>
      <c r="H199" s="11" t="s">
        <v>1688</v>
      </c>
      <c r="I199" s="11" t="s">
        <v>1689</v>
      </c>
      <c r="J199" s="11" t="s">
        <v>1690</v>
      </c>
      <c r="K199" s="12" t="s">
        <v>25</v>
      </c>
      <c r="L199" s="11" t="s">
        <v>1691</v>
      </c>
      <c r="M199" s="11" t="s">
        <v>549</v>
      </c>
      <c r="N199" s="11" t="s">
        <v>793</v>
      </c>
      <c r="O199" s="11" t="s">
        <v>45</v>
      </c>
      <c r="P199" s="11" t="s">
        <v>1692</v>
      </c>
    </row>
    <row r="200" customFormat="false" ht="85.5" hidden="false" customHeight="true" outlineLevel="0" collapsed="false">
      <c r="A200" s="9" t="s">
        <v>1693</v>
      </c>
      <c r="B200" s="9" t="s">
        <v>1606</v>
      </c>
      <c r="C200" s="9" t="s">
        <v>1694</v>
      </c>
      <c r="D200" s="9" t="s">
        <v>35</v>
      </c>
      <c r="E200" s="9" t="s">
        <v>57</v>
      </c>
      <c r="F200" s="9" t="s">
        <v>1695</v>
      </c>
      <c r="G200" s="9" t="s">
        <v>952</v>
      </c>
      <c r="H200" s="9" t="s">
        <v>1696</v>
      </c>
      <c r="I200" s="9" t="s">
        <v>1697</v>
      </c>
      <c r="J200" s="9" t="s">
        <v>1698</v>
      </c>
      <c r="K200" s="10" t="s">
        <v>25</v>
      </c>
      <c r="L200" s="9" t="s">
        <v>1699</v>
      </c>
      <c r="M200" s="9" t="s">
        <v>43</v>
      </c>
      <c r="N200" s="9" t="s">
        <v>64</v>
      </c>
      <c r="O200" s="9" t="s">
        <v>73</v>
      </c>
      <c r="P200" s="9" t="s">
        <v>1207</v>
      </c>
    </row>
    <row r="201" customFormat="false" ht="85.5" hidden="false" customHeight="true" outlineLevel="0" collapsed="false">
      <c r="A201" s="11" t="s">
        <v>1700</v>
      </c>
      <c r="B201" s="11" t="s">
        <v>1606</v>
      </c>
      <c r="C201" s="11" t="s">
        <v>1694</v>
      </c>
      <c r="D201" s="11" t="s">
        <v>35</v>
      </c>
      <c r="E201" s="11" t="s">
        <v>36</v>
      </c>
      <c r="F201" s="11" t="s">
        <v>1701</v>
      </c>
      <c r="G201" s="11" t="s">
        <v>1702</v>
      </c>
      <c r="H201" s="11" t="s">
        <v>1703</v>
      </c>
      <c r="I201" s="11" t="s">
        <v>1704</v>
      </c>
      <c r="J201" s="11" t="s">
        <v>1705</v>
      </c>
      <c r="K201" s="12" t="s">
        <v>25</v>
      </c>
      <c r="L201" s="11" t="s">
        <v>1706</v>
      </c>
      <c r="M201" s="11" t="s">
        <v>43</v>
      </c>
      <c r="N201" s="11" t="s">
        <v>64</v>
      </c>
      <c r="O201" s="11" t="s">
        <v>73</v>
      </c>
      <c r="P201" s="11" t="s">
        <v>1707</v>
      </c>
    </row>
    <row r="202" customFormat="false" ht="85.5" hidden="false" customHeight="true" outlineLevel="0" collapsed="false">
      <c r="A202" s="9" t="s">
        <v>1708</v>
      </c>
      <c r="B202" s="9" t="s">
        <v>1606</v>
      </c>
      <c r="C202" s="9" t="s">
        <v>1694</v>
      </c>
      <c r="D202" s="9" t="s">
        <v>35</v>
      </c>
      <c r="E202" s="9" t="s">
        <v>57</v>
      </c>
      <c r="F202" s="9" t="s">
        <v>1709</v>
      </c>
      <c r="G202" s="9" t="s">
        <v>1145</v>
      </c>
      <c r="H202" s="9" t="s">
        <v>1710</v>
      </c>
      <c r="I202" s="9" t="s">
        <v>1711</v>
      </c>
      <c r="J202" s="9" t="s">
        <v>1712</v>
      </c>
      <c r="K202" s="10" t="s">
        <v>25</v>
      </c>
      <c r="L202" s="9" t="s">
        <v>1713</v>
      </c>
      <c r="M202" s="9" t="s">
        <v>43</v>
      </c>
      <c r="N202" s="9" t="s">
        <v>54</v>
      </c>
      <c r="O202" s="9" t="s">
        <v>45</v>
      </c>
      <c r="P202" s="9" t="s">
        <v>1714</v>
      </c>
    </row>
    <row r="203" customFormat="false" ht="85.5" hidden="false" customHeight="true" outlineLevel="0" collapsed="false">
      <c r="A203" s="11" t="s">
        <v>1715</v>
      </c>
      <c r="B203" s="11" t="s">
        <v>1606</v>
      </c>
      <c r="C203" s="11" t="s">
        <v>1716</v>
      </c>
      <c r="D203" s="11" t="s">
        <v>35</v>
      </c>
      <c r="E203" s="11" t="s">
        <v>389</v>
      </c>
      <c r="F203" s="11" t="s">
        <v>1717</v>
      </c>
      <c r="G203" s="11" t="s">
        <v>1718</v>
      </c>
      <c r="H203" s="11" t="s">
        <v>1719</v>
      </c>
      <c r="I203" s="11" t="s">
        <v>1720</v>
      </c>
      <c r="J203" s="11" t="s">
        <v>1721</v>
      </c>
      <c r="K203" s="12" t="s">
        <v>25</v>
      </c>
      <c r="L203" s="11" t="s">
        <v>1722</v>
      </c>
      <c r="M203" s="11" t="s">
        <v>43</v>
      </c>
      <c r="N203" s="11" t="s">
        <v>64</v>
      </c>
      <c r="O203" s="11" t="s">
        <v>73</v>
      </c>
      <c r="P203" s="11" t="s">
        <v>1723</v>
      </c>
    </row>
    <row r="204" customFormat="false" ht="85.5" hidden="false" customHeight="true" outlineLevel="0" collapsed="false">
      <c r="A204" s="9" t="s">
        <v>1724</v>
      </c>
      <c r="B204" s="9" t="s">
        <v>1606</v>
      </c>
      <c r="C204" s="9" t="s">
        <v>1725</v>
      </c>
      <c r="D204" s="9" t="s">
        <v>35</v>
      </c>
      <c r="E204" s="9" t="s">
        <v>57</v>
      </c>
      <c r="F204" s="9" t="s">
        <v>1726</v>
      </c>
      <c r="G204" s="9" t="s">
        <v>1727</v>
      </c>
      <c r="H204" s="9" t="s">
        <v>1728</v>
      </c>
      <c r="I204" s="9" t="s">
        <v>1729</v>
      </c>
      <c r="J204" s="9" t="s">
        <v>1730</v>
      </c>
      <c r="K204" s="10" t="s">
        <v>25</v>
      </c>
      <c r="L204" s="9" t="s">
        <v>1731</v>
      </c>
      <c r="M204" s="9" t="s">
        <v>43</v>
      </c>
      <c r="N204" s="9" t="s">
        <v>54</v>
      </c>
      <c r="O204" s="9" t="s">
        <v>73</v>
      </c>
      <c r="P204" s="9" t="s">
        <v>1732</v>
      </c>
    </row>
    <row r="205" customFormat="false" ht="85.5" hidden="false" customHeight="true" outlineLevel="0" collapsed="false">
      <c r="A205" s="11" t="s">
        <v>1733</v>
      </c>
      <c r="B205" s="11" t="s">
        <v>1606</v>
      </c>
      <c r="C205" s="11" t="s">
        <v>1725</v>
      </c>
      <c r="D205" s="11" t="s">
        <v>35</v>
      </c>
      <c r="E205" s="11" t="s">
        <v>57</v>
      </c>
      <c r="F205" s="11" t="s">
        <v>1734</v>
      </c>
      <c r="G205" s="11" t="s">
        <v>1735</v>
      </c>
      <c r="H205" s="11" t="s">
        <v>1736</v>
      </c>
      <c r="I205" s="11" t="s">
        <v>1737</v>
      </c>
      <c r="J205" s="11" t="s">
        <v>693</v>
      </c>
      <c r="K205" s="12" t="s">
        <v>25</v>
      </c>
      <c r="L205" s="11" t="s">
        <v>1738</v>
      </c>
      <c r="M205" s="11" t="s">
        <v>43</v>
      </c>
      <c r="N205" s="11" t="s">
        <v>54</v>
      </c>
      <c r="O205" s="11" t="s">
        <v>73</v>
      </c>
      <c r="P205" s="11" t="s">
        <v>1739</v>
      </c>
    </row>
    <row r="206" customFormat="false" ht="85.5" hidden="false" customHeight="true" outlineLevel="0" collapsed="false">
      <c r="A206" s="9" t="s">
        <v>1740</v>
      </c>
      <c r="B206" s="9" t="s">
        <v>1606</v>
      </c>
      <c r="C206" s="9" t="s">
        <v>1741</v>
      </c>
      <c r="D206" s="9" t="s">
        <v>35</v>
      </c>
      <c r="E206" s="9" t="s">
        <v>118</v>
      </c>
      <c r="F206" s="9" t="s">
        <v>1742</v>
      </c>
      <c r="G206" s="9" t="s">
        <v>1145</v>
      </c>
      <c r="H206" s="9" t="s">
        <v>1743</v>
      </c>
      <c r="I206" s="9" t="s">
        <v>1744</v>
      </c>
      <c r="J206" s="9" t="s">
        <v>1745</v>
      </c>
      <c r="K206" s="10" t="s">
        <v>25</v>
      </c>
      <c r="L206" s="9" t="s">
        <v>1746</v>
      </c>
      <c r="M206" s="9" t="s">
        <v>43</v>
      </c>
      <c r="N206" s="9" t="s">
        <v>54</v>
      </c>
      <c r="O206" s="9" t="s">
        <v>73</v>
      </c>
      <c r="P206" s="9" t="s">
        <v>1732</v>
      </c>
    </row>
    <row r="207" customFormat="false" ht="85.5" hidden="false" customHeight="true" outlineLevel="0" collapsed="false">
      <c r="A207" s="11" t="s">
        <v>1747</v>
      </c>
      <c r="B207" s="11" t="s">
        <v>1606</v>
      </c>
      <c r="C207" s="11" t="s">
        <v>1725</v>
      </c>
      <c r="D207" s="11" t="s">
        <v>35</v>
      </c>
      <c r="E207" s="11" t="s">
        <v>118</v>
      </c>
      <c r="F207" s="11" t="s">
        <v>1748</v>
      </c>
      <c r="G207" s="11" t="s">
        <v>1749</v>
      </c>
      <c r="H207" s="11" t="s">
        <v>1750</v>
      </c>
      <c r="I207" s="11" t="s">
        <v>1751</v>
      </c>
      <c r="J207" s="11" t="s">
        <v>1752</v>
      </c>
      <c r="K207" s="12" t="s">
        <v>25</v>
      </c>
      <c r="L207" s="11" t="s">
        <v>1753</v>
      </c>
      <c r="M207" s="11" t="s">
        <v>43</v>
      </c>
      <c r="N207" s="11" t="s">
        <v>64</v>
      </c>
      <c r="O207" s="11" t="s">
        <v>73</v>
      </c>
      <c r="P207" s="11" t="s">
        <v>1754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4" min="3" style="0" width="10"/>
    <col collapsed="false" customWidth="true" hidden="false" outlineLevel="0" max="5" min="5" style="0" width="34"/>
  </cols>
  <sheetData>
    <row r="1" customFormat="false" ht="15" hidden="false" customHeight="false" outlineLevel="0" collapsed="false">
      <c r="A1" s="13" t="s">
        <v>19</v>
      </c>
      <c r="B1" s="13" t="s">
        <v>20</v>
      </c>
      <c r="C1" s="13" t="s">
        <v>21</v>
      </c>
      <c r="D1" s="13" t="s">
        <v>1755</v>
      </c>
      <c r="E1" s="13" t="s">
        <v>1756</v>
      </c>
    </row>
    <row r="2" customFormat="false" ht="15" hidden="false" customHeight="false" outlineLevel="0" collapsed="false">
      <c r="A2" s="14" t="s">
        <v>430</v>
      </c>
      <c r="B2" s="14" t="s">
        <v>536</v>
      </c>
      <c r="C2" s="14" t="s">
        <v>35</v>
      </c>
      <c r="D2" s="15" t="n">
        <f aca="false">COUNTIF('Ngan hang cau hoi'!$C$2:$C$207,B2)</f>
        <v>2</v>
      </c>
      <c r="E2" s="14" t="s">
        <v>1757</v>
      </c>
    </row>
    <row r="3" customFormat="false" ht="15" hidden="false" customHeight="false" outlineLevel="0" collapsed="false">
      <c r="A3" s="16" t="s">
        <v>430</v>
      </c>
      <c r="B3" s="16" t="s">
        <v>520</v>
      </c>
      <c r="C3" s="16" t="s">
        <v>35</v>
      </c>
      <c r="D3" s="17" t="n">
        <f aca="false">COUNTIF('Ngan hang cau hoi'!$C$2:$C$207,B3)</f>
        <v>2</v>
      </c>
      <c r="E3" s="16" t="s">
        <v>1757</v>
      </c>
    </row>
    <row r="4" customFormat="false" ht="15" hidden="false" customHeight="false" outlineLevel="0" collapsed="false">
      <c r="A4" s="14" t="s">
        <v>430</v>
      </c>
      <c r="B4" s="14" t="s">
        <v>462</v>
      </c>
      <c r="C4" s="14" t="s">
        <v>35</v>
      </c>
      <c r="D4" s="15" t="n">
        <f aca="false">COUNTIF('Ngan hang cau hoi'!$C$2:$C$207,B4)</f>
        <v>2</v>
      </c>
      <c r="E4" s="14" t="s">
        <v>1757</v>
      </c>
    </row>
    <row r="5" customFormat="false" ht="15" hidden="false" customHeight="false" outlineLevel="0" collapsed="false">
      <c r="A5" s="16" t="s">
        <v>430</v>
      </c>
      <c r="B5" s="16" t="s">
        <v>605</v>
      </c>
      <c r="C5" s="16" t="s">
        <v>136</v>
      </c>
      <c r="D5" s="17" t="n">
        <f aca="false">COUNTIF('Ngan hang cau hoi'!$C$2:$C$207,B5)</f>
        <v>1</v>
      </c>
      <c r="E5" s="16" t="s">
        <v>1758</v>
      </c>
    </row>
    <row r="6" customFormat="false" ht="15" hidden="false" customHeight="false" outlineLevel="0" collapsed="false">
      <c r="A6" s="14" t="s">
        <v>430</v>
      </c>
      <c r="B6" s="14" t="s">
        <v>614</v>
      </c>
      <c r="C6" s="14" t="s">
        <v>136</v>
      </c>
      <c r="D6" s="15" t="n">
        <f aca="false">COUNTIF('Ngan hang cau hoi'!$C$2:$C$207,B6)</f>
        <v>1</v>
      </c>
      <c r="E6" s="14" t="s">
        <v>1758</v>
      </c>
    </row>
    <row r="7" customFormat="false" ht="15" hidden="false" customHeight="false" outlineLevel="0" collapsed="false">
      <c r="A7" s="16" t="s">
        <v>430</v>
      </c>
      <c r="B7" s="16" t="s">
        <v>431</v>
      </c>
      <c r="C7" s="16" t="s">
        <v>35</v>
      </c>
      <c r="D7" s="17" t="n">
        <f aca="false">COUNTIF('Ngan hang cau hoi'!$C$2:$C$207,B7)</f>
        <v>4</v>
      </c>
      <c r="E7" s="16" t="s">
        <v>1757</v>
      </c>
    </row>
    <row r="8" customFormat="false" ht="15" hidden="false" customHeight="false" outlineLevel="0" collapsed="false">
      <c r="A8" s="14" t="s">
        <v>430</v>
      </c>
      <c r="B8" s="14" t="s">
        <v>552</v>
      </c>
      <c r="C8" s="14" t="s">
        <v>35</v>
      </c>
      <c r="D8" s="15" t="n">
        <f aca="false">COUNTIF('Ngan hang cau hoi'!$C$2:$C$207,B8)</f>
        <v>1</v>
      </c>
      <c r="E8" s="14" t="s">
        <v>1758</v>
      </c>
    </row>
    <row r="9" customFormat="false" ht="15" hidden="false" customHeight="false" outlineLevel="0" collapsed="false">
      <c r="A9" s="16" t="s">
        <v>430</v>
      </c>
      <c r="B9" s="16" t="s">
        <v>503</v>
      </c>
      <c r="C9" s="16" t="s">
        <v>35</v>
      </c>
      <c r="D9" s="17" t="n">
        <f aca="false">COUNTIF('Ngan hang cau hoi'!$C$2:$C$207,B9)</f>
        <v>2</v>
      </c>
      <c r="E9" s="16" t="s">
        <v>1757</v>
      </c>
    </row>
    <row r="10" customFormat="false" ht="15" hidden="false" customHeight="false" outlineLevel="0" collapsed="false">
      <c r="A10" s="14" t="s">
        <v>430</v>
      </c>
      <c r="B10" s="14" t="s">
        <v>479</v>
      </c>
      <c r="C10" s="14" t="s">
        <v>35</v>
      </c>
      <c r="D10" s="15" t="n">
        <f aca="false">COUNTIF('Ngan hang cau hoi'!$C$2:$C$207,B10)</f>
        <v>3</v>
      </c>
      <c r="E10" s="14" t="s">
        <v>1757</v>
      </c>
    </row>
    <row r="11" customFormat="false" ht="15" hidden="false" customHeight="false" outlineLevel="0" collapsed="false">
      <c r="A11" s="16" t="s">
        <v>430</v>
      </c>
      <c r="B11" s="16" t="s">
        <v>561</v>
      </c>
      <c r="C11" s="16" t="s">
        <v>35</v>
      </c>
      <c r="D11" s="17" t="n">
        <f aca="false">COUNTIF('Ngan hang cau hoi'!$C$2:$C$207,B11)</f>
        <v>1</v>
      </c>
      <c r="E11" s="16" t="s">
        <v>1758</v>
      </c>
    </row>
    <row r="12" customFormat="false" ht="15" hidden="false" customHeight="false" outlineLevel="0" collapsed="false">
      <c r="A12" s="14" t="s">
        <v>430</v>
      </c>
      <c r="B12" s="14" t="s">
        <v>570</v>
      </c>
      <c r="C12" s="14" t="s">
        <v>35</v>
      </c>
      <c r="D12" s="15" t="n">
        <f aca="false">COUNTIF('Ngan hang cau hoi'!$C$2:$C$207,B12)</f>
        <v>1</v>
      </c>
      <c r="E12" s="14" t="s">
        <v>1758</v>
      </c>
    </row>
    <row r="13" customFormat="false" ht="15" hidden="false" customHeight="false" outlineLevel="0" collapsed="false">
      <c r="A13" s="16" t="s">
        <v>430</v>
      </c>
      <c r="B13" s="16" t="s">
        <v>588</v>
      </c>
      <c r="C13" s="16" t="s">
        <v>35</v>
      </c>
      <c r="D13" s="17" t="n">
        <f aca="false">COUNTIF('Ngan hang cau hoi'!$C$2:$C$207,B13)</f>
        <v>2</v>
      </c>
      <c r="E13" s="16" t="s">
        <v>1757</v>
      </c>
    </row>
    <row r="14" customFormat="false" ht="15" hidden="false" customHeight="false" outlineLevel="0" collapsed="false">
      <c r="A14" s="14" t="s">
        <v>430</v>
      </c>
      <c r="B14" s="14" t="s">
        <v>579</v>
      </c>
      <c r="C14" s="14" t="s">
        <v>35</v>
      </c>
      <c r="D14" s="15" t="n">
        <f aca="false">COUNTIF('Ngan hang cau hoi'!$C$2:$C$207,B14)</f>
        <v>1</v>
      </c>
      <c r="E14" s="14" t="s">
        <v>1758</v>
      </c>
    </row>
    <row r="15" customFormat="false" ht="15" hidden="false" customHeight="false" outlineLevel="0" collapsed="false">
      <c r="A15" s="16" t="s">
        <v>1109</v>
      </c>
      <c r="B15" s="16" t="s">
        <v>1135</v>
      </c>
      <c r="C15" s="16" t="s">
        <v>35</v>
      </c>
      <c r="D15" s="17" t="n">
        <f aca="false">COUNTIF('Ngan hang cau hoi'!$C$2:$C$207,B15)</f>
        <v>2</v>
      </c>
      <c r="E15" s="16" t="s">
        <v>1757</v>
      </c>
    </row>
    <row r="16" customFormat="false" ht="15" hidden="false" customHeight="false" outlineLevel="0" collapsed="false">
      <c r="A16" s="14" t="s">
        <v>1109</v>
      </c>
      <c r="B16" s="14" t="s">
        <v>1235</v>
      </c>
      <c r="C16" s="14" t="s">
        <v>35</v>
      </c>
      <c r="D16" s="15" t="n">
        <f aca="false">COUNTIF('Ngan hang cau hoi'!$C$2:$C$207,B16)</f>
        <v>1</v>
      </c>
      <c r="E16" s="14" t="s">
        <v>1758</v>
      </c>
    </row>
    <row r="17" customFormat="false" ht="15" hidden="false" customHeight="false" outlineLevel="0" collapsed="false">
      <c r="A17" s="16" t="s">
        <v>1109</v>
      </c>
      <c r="B17" s="16" t="s">
        <v>1168</v>
      </c>
      <c r="C17" s="16" t="s">
        <v>136</v>
      </c>
      <c r="D17" s="17" t="n">
        <f aca="false">COUNTIF('Ngan hang cau hoi'!$C$2:$C$207,B17)</f>
        <v>2</v>
      </c>
      <c r="E17" s="16" t="s">
        <v>1757</v>
      </c>
    </row>
    <row r="18" customFormat="false" ht="15" hidden="false" customHeight="false" outlineLevel="0" collapsed="false">
      <c r="A18" s="14" t="s">
        <v>1109</v>
      </c>
      <c r="B18" s="14" t="s">
        <v>1185</v>
      </c>
      <c r="C18" s="14" t="s">
        <v>35</v>
      </c>
      <c r="D18" s="15" t="n">
        <f aca="false">COUNTIF('Ngan hang cau hoi'!$C$2:$C$207,B18)</f>
        <v>2</v>
      </c>
      <c r="E18" s="14" t="s">
        <v>1757</v>
      </c>
    </row>
    <row r="19" customFormat="false" ht="15" hidden="false" customHeight="false" outlineLevel="0" collapsed="false">
      <c r="A19" s="16" t="s">
        <v>1109</v>
      </c>
      <c r="B19" s="16" t="s">
        <v>1244</v>
      </c>
      <c r="C19" s="16" t="s">
        <v>35</v>
      </c>
      <c r="D19" s="17" t="n">
        <f aca="false">COUNTIF('Ngan hang cau hoi'!$C$2:$C$207,B19)</f>
        <v>1</v>
      </c>
      <c r="E19" s="16" t="s">
        <v>1758</v>
      </c>
    </row>
    <row r="20" customFormat="false" ht="15" hidden="false" customHeight="false" outlineLevel="0" collapsed="false">
      <c r="A20" s="14" t="s">
        <v>1109</v>
      </c>
      <c r="B20" s="14" t="s">
        <v>1252</v>
      </c>
      <c r="C20" s="14" t="s">
        <v>35</v>
      </c>
      <c r="D20" s="15" t="n">
        <f aca="false">COUNTIF('Ngan hang cau hoi'!$C$2:$C$207,B20)</f>
        <v>1</v>
      </c>
      <c r="E20" s="14" t="s">
        <v>1758</v>
      </c>
    </row>
    <row r="21" customFormat="false" ht="15" hidden="false" customHeight="false" outlineLevel="0" collapsed="false">
      <c r="A21" s="16" t="s">
        <v>1109</v>
      </c>
      <c r="B21" s="16" t="s">
        <v>1201</v>
      </c>
      <c r="C21" s="16" t="s">
        <v>35</v>
      </c>
      <c r="D21" s="17" t="n">
        <f aca="false">COUNTIF('Ngan hang cau hoi'!$C$2:$C$207,B21)</f>
        <v>2</v>
      </c>
      <c r="E21" s="16" t="s">
        <v>1757</v>
      </c>
    </row>
    <row r="22" customFormat="false" ht="15" hidden="false" customHeight="false" outlineLevel="0" collapsed="false">
      <c r="A22" s="14" t="s">
        <v>1109</v>
      </c>
      <c r="B22" s="14" t="s">
        <v>1110</v>
      </c>
      <c r="C22" s="14" t="s">
        <v>35</v>
      </c>
      <c r="D22" s="15" t="n">
        <f aca="false">COUNTIF('Ngan hang cau hoi'!$C$2:$C$207,B22)</f>
        <v>3</v>
      </c>
      <c r="E22" s="14" t="s">
        <v>1757</v>
      </c>
    </row>
    <row r="23" customFormat="false" ht="15" hidden="false" customHeight="false" outlineLevel="0" collapsed="false">
      <c r="A23" s="16" t="s">
        <v>1109</v>
      </c>
      <c r="B23" s="16" t="s">
        <v>1270</v>
      </c>
      <c r="C23" s="16" t="s">
        <v>35</v>
      </c>
      <c r="D23" s="17" t="n">
        <f aca="false">COUNTIF('Ngan hang cau hoi'!$C$2:$C$207,B23)</f>
        <v>1</v>
      </c>
      <c r="E23" s="16" t="s">
        <v>1758</v>
      </c>
    </row>
    <row r="24" customFormat="false" ht="15" hidden="false" customHeight="false" outlineLevel="0" collapsed="false">
      <c r="A24" s="14" t="s">
        <v>1109</v>
      </c>
      <c r="B24" s="14" t="s">
        <v>1226</v>
      </c>
      <c r="C24" s="14" t="s">
        <v>35</v>
      </c>
      <c r="D24" s="15" t="n">
        <f aca="false">COUNTIF('Ngan hang cau hoi'!$C$2:$C$207,B24)</f>
        <v>1</v>
      </c>
      <c r="E24" s="14" t="s">
        <v>1758</v>
      </c>
    </row>
    <row r="25" customFormat="false" ht="15" hidden="false" customHeight="false" outlineLevel="0" collapsed="false">
      <c r="A25" s="16" t="s">
        <v>1109</v>
      </c>
      <c r="B25" s="16" t="s">
        <v>1217</v>
      </c>
      <c r="C25" s="16" t="s">
        <v>35</v>
      </c>
      <c r="D25" s="17" t="n">
        <f aca="false">COUNTIF('Ngan hang cau hoi'!$C$2:$C$207,B25)</f>
        <v>1</v>
      </c>
      <c r="E25" s="16" t="s">
        <v>1758</v>
      </c>
    </row>
    <row r="26" customFormat="false" ht="15" hidden="false" customHeight="false" outlineLevel="0" collapsed="false">
      <c r="A26" s="14" t="s">
        <v>1109</v>
      </c>
      <c r="B26" s="14" t="s">
        <v>1261</v>
      </c>
      <c r="C26" s="14" t="s">
        <v>35</v>
      </c>
      <c r="D26" s="15" t="n">
        <f aca="false">COUNTIF('Ngan hang cau hoi'!$C$2:$C$207,B26)</f>
        <v>1</v>
      </c>
      <c r="E26" s="14" t="s">
        <v>1758</v>
      </c>
    </row>
    <row r="27" customFormat="false" ht="15" hidden="false" customHeight="false" outlineLevel="0" collapsed="false">
      <c r="A27" s="16" t="s">
        <v>1109</v>
      </c>
      <c r="B27" s="16" t="s">
        <v>1279</v>
      </c>
      <c r="C27" s="16" t="s">
        <v>35</v>
      </c>
      <c r="D27" s="17" t="n">
        <f aca="false">COUNTIF('Ngan hang cau hoi'!$C$2:$C$207,B27)</f>
        <v>2</v>
      </c>
      <c r="E27" s="16" t="s">
        <v>1757</v>
      </c>
    </row>
    <row r="28" customFormat="false" ht="15" hidden="false" customHeight="false" outlineLevel="0" collapsed="false">
      <c r="A28" s="14" t="s">
        <v>1109</v>
      </c>
      <c r="B28" s="14" t="s">
        <v>1152</v>
      </c>
      <c r="C28" s="14" t="s">
        <v>136</v>
      </c>
      <c r="D28" s="15" t="n">
        <f aca="false">COUNTIF('Ngan hang cau hoi'!$C$2:$C$207,B28)</f>
        <v>2</v>
      </c>
      <c r="E28" s="14" t="s">
        <v>1757</v>
      </c>
    </row>
    <row r="29" customFormat="false" ht="15" hidden="false" customHeight="false" outlineLevel="0" collapsed="false">
      <c r="A29" s="16" t="s">
        <v>1295</v>
      </c>
      <c r="B29" s="16" t="s">
        <v>1396</v>
      </c>
      <c r="C29" s="16" t="s">
        <v>35</v>
      </c>
      <c r="D29" s="17" t="n">
        <f aca="false">COUNTIF('Ngan hang cau hoi'!$C$2:$C$207,B29)</f>
        <v>3</v>
      </c>
      <c r="E29" s="16" t="s">
        <v>1757</v>
      </c>
    </row>
    <row r="30" customFormat="false" ht="15" hidden="false" customHeight="false" outlineLevel="0" collapsed="false">
      <c r="A30" s="14" t="s">
        <v>1295</v>
      </c>
      <c r="B30" s="14" t="s">
        <v>1321</v>
      </c>
      <c r="C30" s="14" t="s">
        <v>35</v>
      </c>
      <c r="D30" s="15" t="n">
        <f aca="false">COUNTIF('Ngan hang cau hoi'!$C$2:$C$207,B30)</f>
        <v>3</v>
      </c>
      <c r="E30" s="14" t="s">
        <v>1757</v>
      </c>
    </row>
    <row r="31" customFormat="false" ht="15" hidden="false" customHeight="false" outlineLevel="0" collapsed="false">
      <c r="A31" s="16" t="s">
        <v>1295</v>
      </c>
      <c r="B31" s="16" t="s">
        <v>1344</v>
      </c>
      <c r="C31" s="16" t="s">
        <v>35</v>
      </c>
      <c r="D31" s="17" t="n">
        <f aca="false">COUNTIF('Ngan hang cau hoi'!$C$2:$C$207,B31)</f>
        <v>4</v>
      </c>
      <c r="E31" s="16" t="s">
        <v>1757</v>
      </c>
    </row>
    <row r="32" customFormat="false" ht="15" hidden="false" customHeight="false" outlineLevel="0" collapsed="false">
      <c r="A32" s="14" t="s">
        <v>1295</v>
      </c>
      <c r="B32" s="14" t="s">
        <v>1419</v>
      </c>
      <c r="C32" s="14" t="s">
        <v>136</v>
      </c>
      <c r="D32" s="15" t="n">
        <f aca="false">COUNTIF('Ngan hang cau hoi'!$C$2:$C$207,B32)</f>
        <v>3</v>
      </c>
      <c r="E32" s="14" t="s">
        <v>1757</v>
      </c>
    </row>
    <row r="33" customFormat="false" ht="15" hidden="false" customHeight="false" outlineLevel="0" collapsed="false">
      <c r="A33" s="16" t="s">
        <v>1295</v>
      </c>
      <c r="B33" s="16" t="s">
        <v>1296</v>
      </c>
      <c r="C33" s="16" t="s">
        <v>35</v>
      </c>
      <c r="D33" s="17" t="n">
        <f aca="false">COUNTIF('Ngan hang cau hoi'!$C$2:$C$207,B33)</f>
        <v>2</v>
      </c>
      <c r="E33" s="16" t="s">
        <v>1757</v>
      </c>
    </row>
    <row r="34" customFormat="false" ht="15" hidden="false" customHeight="false" outlineLevel="0" collapsed="false">
      <c r="A34" s="14" t="s">
        <v>1295</v>
      </c>
      <c r="B34" s="14" t="s">
        <v>1313</v>
      </c>
      <c r="C34" s="14" t="s">
        <v>35</v>
      </c>
      <c r="D34" s="15" t="n">
        <f aca="false">COUNTIF('Ngan hang cau hoi'!$C$2:$C$207,B34)</f>
        <v>2</v>
      </c>
      <c r="E34" s="14" t="s">
        <v>1757</v>
      </c>
    </row>
    <row r="35" customFormat="false" ht="15" hidden="false" customHeight="false" outlineLevel="0" collapsed="false">
      <c r="A35" s="16" t="s">
        <v>1295</v>
      </c>
      <c r="B35" s="16" t="s">
        <v>1374</v>
      </c>
      <c r="C35" s="16" t="s">
        <v>35</v>
      </c>
      <c r="D35" s="17" t="n">
        <f aca="false">COUNTIF('Ngan hang cau hoi'!$C$2:$C$207,B35)</f>
        <v>3</v>
      </c>
      <c r="E35" s="16" t="s">
        <v>1757</v>
      </c>
    </row>
    <row r="36" customFormat="false" ht="15" hidden="false" customHeight="false" outlineLevel="0" collapsed="false">
      <c r="A36" s="14" t="s">
        <v>865</v>
      </c>
      <c r="B36" s="14" t="s">
        <v>1000</v>
      </c>
      <c r="C36" s="14" t="s">
        <v>35</v>
      </c>
      <c r="D36" s="15" t="n">
        <f aca="false">COUNTIF('Ngan hang cau hoi'!$C$2:$C$207,B36)</f>
        <v>2</v>
      </c>
      <c r="E36" s="14" t="s">
        <v>1757</v>
      </c>
    </row>
    <row r="37" customFormat="false" ht="15" hidden="false" customHeight="false" outlineLevel="0" collapsed="false">
      <c r="A37" s="16" t="s">
        <v>865</v>
      </c>
      <c r="B37" s="16" t="s">
        <v>915</v>
      </c>
      <c r="C37" s="16" t="s">
        <v>35</v>
      </c>
      <c r="D37" s="17" t="n">
        <f aca="false">COUNTIF('Ngan hang cau hoi'!$C$2:$C$207,B37)</f>
        <v>1</v>
      </c>
      <c r="E37" s="16" t="s">
        <v>1758</v>
      </c>
    </row>
    <row r="38" customFormat="false" ht="15" hidden="false" customHeight="false" outlineLevel="0" collapsed="false">
      <c r="A38" s="14" t="s">
        <v>865</v>
      </c>
      <c r="B38" s="14" t="s">
        <v>906</v>
      </c>
      <c r="C38" s="14" t="s">
        <v>35</v>
      </c>
      <c r="D38" s="15" t="n">
        <f aca="false">COUNTIF('Ngan hang cau hoi'!$C$2:$C$207,B38)</f>
        <v>1</v>
      </c>
      <c r="E38" s="14" t="s">
        <v>1758</v>
      </c>
    </row>
    <row r="39" customFormat="false" ht="15" hidden="false" customHeight="false" outlineLevel="0" collapsed="false">
      <c r="A39" s="16" t="s">
        <v>865</v>
      </c>
      <c r="B39" s="16" t="s">
        <v>1076</v>
      </c>
      <c r="C39" s="16" t="s">
        <v>136</v>
      </c>
      <c r="D39" s="17" t="n">
        <f aca="false">COUNTIF('Ngan hang cau hoi'!$C$2:$C$207,B39)</f>
        <v>2</v>
      </c>
      <c r="E39" s="16" t="s">
        <v>1757</v>
      </c>
    </row>
    <row r="40" customFormat="false" ht="15" hidden="false" customHeight="false" outlineLevel="0" collapsed="false">
      <c r="A40" s="14" t="s">
        <v>865</v>
      </c>
      <c r="B40" s="14" t="s">
        <v>924</v>
      </c>
      <c r="C40" s="14" t="s">
        <v>35</v>
      </c>
      <c r="D40" s="15" t="n">
        <f aca="false">COUNTIF('Ngan hang cau hoi'!$C$2:$C$207,B40)</f>
        <v>2</v>
      </c>
      <c r="E40" s="14" t="s">
        <v>1757</v>
      </c>
    </row>
    <row r="41" customFormat="false" ht="15" hidden="false" customHeight="false" outlineLevel="0" collapsed="false">
      <c r="A41" s="16" t="s">
        <v>865</v>
      </c>
      <c r="B41" s="16" t="s">
        <v>1058</v>
      </c>
      <c r="C41" s="16" t="s">
        <v>35</v>
      </c>
      <c r="D41" s="17" t="n">
        <f aca="false">COUNTIF('Ngan hang cau hoi'!$C$2:$C$207,B41)</f>
        <v>1</v>
      </c>
      <c r="E41" s="16" t="s">
        <v>1758</v>
      </c>
    </row>
    <row r="42" customFormat="false" ht="15" hidden="false" customHeight="false" outlineLevel="0" collapsed="false">
      <c r="A42" s="14" t="s">
        <v>865</v>
      </c>
      <c r="B42" s="14" t="s">
        <v>984</v>
      </c>
      <c r="C42" s="14" t="s">
        <v>35</v>
      </c>
      <c r="D42" s="15" t="n">
        <f aca="false">COUNTIF('Ngan hang cau hoi'!$C$2:$C$207,B42)</f>
        <v>1</v>
      </c>
      <c r="E42" s="14" t="s">
        <v>1758</v>
      </c>
    </row>
    <row r="43" customFormat="false" ht="15" hidden="false" customHeight="false" outlineLevel="0" collapsed="false">
      <c r="A43" s="16" t="s">
        <v>865</v>
      </c>
      <c r="B43" s="16" t="s">
        <v>967</v>
      </c>
      <c r="C43" s="16" t="s">
        <v>35</v>
      </c>
      <c r="D43" s="17" t="n">
        <f aca="false">COUNTIF('Ngan hang cau hoi'!$C$2:$C$207,B43)</f>
        <v>2</v>
      </c>
      <c r="E43" s="16" t="s">
        <v>1757</v>
      </c>
    </row>
    <row r="44" customFormat="false" ht="15" hidden="false" customHeight="false" outlineLevel="0" collapsed="false">
      <c r="A44" s="14" t="s">
        <v>865</v>
      </c>
      <c r="B44" s="14" t="s">
        <v>1067</v>
      </c>
      <c r="C44" s="14" t="s">
        <v>35</v>
      </c>
      <c r="D44" s="15" t="n">
        <f aca="false">COUNTIF('Ngan hang cau hoi'!$C$2:$C$207,B44)</f>
        <v>1</v>
      </c>
      <c r="E44" s="14" t="s">
        <v>1758</v>
      </c>
    </row>
    <row r="45" customFormat="false" ht="15" hidden="false" customHeight="false" outlineLevel="0" collapsed="false">
      <c r="A45" s="16" t="s">
        <v>865</v>
      </c>
      <c r="B45" s="16" t="s">
        <v>950</v>
      </c>
      <c r="C45" s="16" t="s">
        <v>136</v>
      </c>
      <c r="D45" s="17" t="n">
        <f aca="false">COUNTIF('Ngan hang cau hoi'!$C$2:$C$207,B45)</f>
        <v>2</v>
      </c>
      <c r="E45" s="16" t="s">
        <v>1757</v>
      </c>
    </row>
    <row r="46" customFormat="false" ht="15" hidden="false" customHeight="false" outlineLevel="0" collapsed="false">
      <c r="A46" s="14" t="s">
        <v>865</v>
      </c>
      <c r="B46" s="14" t="s">
        <v>959</v>
      </c>
      <c r="C46" s="14" t="s">
        <v>136</v>
      </c>
      <c r="D46" s="15" t="n">
        <f aca="false">COUNTIF('Ngan hang cau hoi'!$C$2:$C$207,B46)</f>
        <v>1</v>
      </c>
      <c r="E46" s="14" t="s">
        <v>1758</v>
      </c>
    </row>
    <row r="47" customFormat="false" ht="15" hidden="false" customHeight="false" outlineLevel="0" collapsed="false">
      <c r="A47" s="16" t="s">
        <v>865</v>
      </c>
      <c r="B47" s="16" t="s">
        <v>941</v>
      </c>
      <c r="C47" s="16" t="s">
        <v>35</v>
      </c>
      <c r="D47" s="17" t="n">
        <f aca="false">COUNTIF('Ngan hang cau hoi'!$C$2:$C$207,B47)</f>
        <v>1</v>
      </c>
      <c r="E47" s="16" t="s">
        <v>1758</v>
      </c>
    </row>
    <row r="48" customFormat="false" ht="15" hidden="false" customHeight="false" outlineLevel="0" collapsed="false">
      <c r="A48" s="14" t="s">
        <v>865</v>
      </c>
      <c r="B48" s="14" t="s">
        <v>1042</v>
      </c>
      <c r="C48" s="14" t="s">
        <v>35</v>
      </c>
      <c r="D48" s="15" t="n">
        <f aca="false">COUNTIF('Ngan hang cau hoi'!$C$2:$C$207,B48)</f>
        <v>2</v>
      </c>
      <c r="E48" s="14" t="s">
        <v>1757</v>
      </c>
    </row>
    <row r="49" customFormat="false" ht="15" hidden="false" customHeight="false" outlineLevel="0" collapsed="false">
      <c r="A49" s="16" t="s">
        <v>865</v>
      </c>
      <c r="B49" s="16" t="s">
        <v>866</v>
      </c>
      <c r="C49" s="16" t="s">
        <v>35</v>
      </c>
      <c r="D49" s="17" t="n">
        <f aca="false">COUNTIF('Ngan hang cau hoi'!$C$2:$C$207,B49)</f>
        <v>5</v>
      </c>
      <c r="E49" s="16" t="s">
        <v>1757</v>
      </c>
    </row>
    <row r="50" customFormat="false" ht="15" hidden="false" customHeight="false" outlineLevel="0" collapsed="false">
      <c r="A50" s="14" t="s">
        <v>865</v>
      </c>
      <c r="B50" s="14" t="s">
        <v>992</v>
      </c>
      <c r="C50" s="14" t="s">
        <v>35</v>
      </c>
      <c r="D50" s="15" t="n">
        <f aca="false">COUNTIF('Ngan hang cau hoi'!$C$2:$C$207,B50)</f>
        <v>1</v>
      </c>
      <c r="E50" s="14" t="s">
        <v>1758</v>
      </c>
    </row>
    <row r="51" customFormat="false" ht="15" hidden="false" customHeight="false" outlineLevel="0" collapsed="false">
      <c r="A51" s="16" t="s">
        <v>865</v>
      </c>
      <c r="B51" s="16" t="s">
        <v>1016</v>
      </c>
      <c r="C51" s="16" t="s">
        <v>35</v>
      </c>
      <c r="D51" s="17" t="n">
        <f aca="false">COUNTIF('Ngan hang cau hoi'!$C$2:$C$207,B51)</f>
        <v>1</v>
      </c>
      <c r="E51" s="16" t="s">
        <v>1758</v>
      </c>
    </row>
    <row r="52" customFormat="false" ht="15" hidden="false" customHeight="false" outlineLevel="0" collapsed="false">
      <c r="A52" s="14" t="s">
        <v>865</v>
      </c>
      <c r="B52" s="14" t="s">
        <v>1092</v>
      </c>
      <c r="C52" s="14" t="s">
        <v>35</v>
      </c>
      <c r="D52" s="15" t="n">
        <f aca="false">COUNTIF('Ngan hang cau hoi'!$C$2:$C$207,B52)</f>
        <v>1</v>
      </c>
      <c r="E52" s="14" t="s">
        <v>1758</v>
      </c>
    </row>
    <row r="53" customFormat="false" ht="15" hidden="false" customHeight="false" outlineLevel="0" collapsed="false">
      <c r="A53" s="16" t="s">
        <v>865</v>
      </c>
      <c r="B53" s="16" t="s">
        <v>1025</v>
      </c>
      <c r="C53" s="16" t="s">
        <v>35</v>
      </c>
      <c r="D53" s="17" t="n">
        <f aca="false">COUNTIF('Ngan hang cau hoi'!$C$2:$C$207,B53)</f>
        <v>2</v>
      </c>
      <c r="E53" s="16" t="s">
        <v>1757</v>
      </c>
    </row>
    <row r="54" customFormat="false" ht="15" hidden="false" customHeight="false" outlineLevel="0" collapsed="false">
      <c r="A54" s="14" t="s">
        <v>1450</v>
      </c>
      <c r="B54" s="14" t="s">
        <v>1572</v>
      </c>
      <c r="C54" s="14" t="s">
        <v>35</v>
      </c>
      <c r="D54" s="15" t="n">
        <f aca="false">COUNTIF('Ngan hang cau hoi'!$C$2:$C$207,B54)</f>
        <v>1</v>
      </c>
      <c r="E54" s="14" t="s">
        <v>1758</v>
      </c>
    </row>
    <row r="55" customFormat="false" ht="15" hidden="false" customHeight="false" outlineLevel="0" collapsed="false">
      <c r="A55" s="16" t="s">
        <v>1450</v>
      </c>
      <c r="B55" s="16" t="s">
        <v>1581</v>
      </c>
      <c r="C55" s="16" t="s">
        <v>35</v>
      </c>
      <c r="D55" s="17" t="n">
        <f aca="false">COUNTIF('Ngan hang cau hoi'!$C$2:$C$207,B55)</f>
        <v>1</v>
      </c>
      <c r="E55" s="16" t="s">
        <v>1758</v>
      </c>
    </row>
    <row r="56" customFormat="false" ht="15" hidden="false" customHeight="false" outlineLevel="0" collapsed="false">
      <c r="A56" s="14" t="s">
        <v>1450</v>
      </c>
      <c r="B56" s="14" t="s">
        <v>1500</v>
      </c>
      <c r="C56" s="14" t="s">
        <v>35</v>
      </c>
      <c r="D56" s="15" t="n">
        <f aca="false">COUNTIF('Ngan hang cau hoi'!$C$2:$C$207,B56)</f>
        <v>2</v>
      </c>
      <c r="E56" s="14" t="s">
        <v>1757</v>
      </c>
    </row>
    <row r="57" customFormat="false" ht="15" hidden="false" customHeight="false" outlineLevel="0" collapsed="false">
      <c r="A57" s="16" t="s">
        <v>1450</v>
      </c>
      <c r="B57" s="16" t="s">
        <v>1491</v>
      </c>
      <c r="C57" s="16" t="s">
        <v>35</v>
      </c>
      <c r="D57" s="17" t="n">
        <f aca="false">COUNTIF('Ngan hang cau hoi'!$C$2:$C$207,B57)</f>
        <v>2</v>
      </c>
      <c r="E57" s="16" t="s">
        <v>1757</v>
      </c>
    </row>
    <row r="58" customFormat="false" ht="15" hidden="false" customHeight="false" outlineLevel="0" collapsed="false">
      <c r="A58" s="14" t="s">
        <v>1450</v>
      </c>
      <c r="B58" s="14" t="s">
        <v>1524</v>
      </c>
      <c r="C58" s="14" t="s">
        <v>35</v>
      </c>
      <c r="D58" s="15" t="n">
        <f aca="false">COUNTIF('Ngan hang cau hoi'!$C$2:$C$207,B58)</f>
        <v>4</v>
      </c>
      <c r="E58" s="14" t="s">
        <v>1757</v>
      </c>
    </row>
    <row r="59" customFormat="false" ht="15" hidden="false" customHeight="false" outlineLevel="0" collapsed="false">
      <c r="A59" s="16" t="s">
        <v>1450</v>
      </c>
      <c r="B59" s="16" t="s">
        <v>1590</v>
      </c>
      <c r="C59" s="16" t="s">
        <v>35</v>
      </c>
      <c r="D59" s="17" t="n">
        <f aca="false">COUNTIF('Ngan hang cau hoi'!$C$2:$C$207,B59)</f>
        <v>1</v>
      </c>
      <c r="E59" s="16" t="s">
        <v>1758</v>
      </c>
    </row>
    <row r="60" customFormat="false" ht="15" hidden="false" customHeight="false" outlineLevel="0" collapsed="false">
      <c r="A60" s="14" t="s">
        <v>1450</v>
      </c>
      <c r="B60" s="14" t="s">
        <v>1451</v>
      </c>
      <c r="C60" s="14" t="s">
        <v>35</v>
      </c>
      <c r="D60" s="15" t="n">
        <f aca="false">COUNTIF('Ngan hang cau hoi'!$C$2:$C$207,B60)</f>
        <v>5</v>
      </c>
      <c r="E60" s="14" t="s">
        <v>1757</v>
      </c>
    </row>
    <row r="61" customFormat="false" ht="15" hidden="false" customHeight="false" outlineLevel="0" collapsed="false">
      <c r="A61" s="16" t="s">
        <v>1450</v>
      </c>
      <c r="B61" s="16" t="s">
        <v>1547</v>
      </c>
      <c r="C61" s="16" t="s">
        <v>35</v>
      </c>
      <c r="D61" s="17" t="n">
        <f aca="false">COUNTIF('Ngan hang cau hoi'!$C$2:$C$207,B61)</f>
        <v>2</v>
      </c>
      <c r="E61" s="16" t="s">
        <v>1757</v>
      </c>
    </row>
    <row r="62" customFormat="false" ht="15" hidden="false" customHeight="false" outlineLevel="0" collapsed="false">
      <c r="A62" s="14" t="s">
        <v>623</v>
      </c>
      <c r="B62" s="14" t="s">
        <v>778</v>
      </c>
      <c r="C62" s="14" t="s">
        <v>136</v>
      </c>
      <c r="D62" s="15" t="n">
        <f aca="false">COUNTIF('Ngan hang cau hoi'!$C$2:$C$207,B62)</f>
        <v>3</v>
      </c>
      <c r="E62" s="14" t="s">
        <v>1757</v>
      </c>
    </row>
    <row r="63" customFormat="false" ht="15" hidden="false" customHeight="false" outlineLevel="0" collapsed="false">
      <c r="A63" s="16" t="s">
        <v>623</v>
      </c>
      <c r="B63" s="16" t="s">
        <v>831</v>
      </c>
      <c r="C63" s="16" t="s">
        <v>35</v>
      </c>
      <c r="D63" s="17" t="n">
        <f aca="false">COUNTIF('Ngan hang cau hoi'!$C$2:$C$207,B63)</f>
        <v>1</v>
      </c>
      <c r="E63" s="16" t="s">
        <v>1758</v>
      </c>
    </row>
    <row r="64" customFormat="false" ht="15" hidden="false" customHeight="false" outlineLevel="0" collapsed="false">
      <c r="A64" s="14" t="s">
        <v>623</v>
      </c>
      <c r="B64" s="14" t="s">
        <v>744</v>
      </c>
      <c r="C64" s="14" t="s">
        <v>35</v>
      </c>
      <c r="D64" s="15" t="n">
        <f aca="false">COUNTIF('Ngan hang cau hoi'!$C$2:$C$207,B64)</f>
        <v>1</v>
      </c>
      <c r="E64" s="14" t="s">
        <v>1758</v>
      </c>
    </row>
    <row r="65" customFormat="false" ht="15" hidden="false" customHeight="false" outlineLevel="0" collapsed="false">
      <c r="A65" s="16" t="s">
        <v>623</v>
      </c>
      <c r="B65" s="16" t="s">
        <v>840</v>
      </c>
      <c r="C65" s="16" t="s">
        <v>35</v>
      </c>
      <c r="D65" s="17" t="n">
        <f aca="false">COUNTIF('Ngan hang cau hoi'!$C$2:$C$207,B65)</f>
        <v>2</v>
      </c>
      <c r="E65" s="16" t="s">
        <v>1757</v>
      </c>
    </row>
    <row r="66" customFormat="false" ht="15" hidden="false" customHeight="false" outlineLevel="0" collapsed="false">
      <c r="A66" s="14" t="s">
        <v>623</v>
      </c>
      <c r="B66" s="14" t="s">
        <v>649</v>
      </c>
      <c r="C66" s="14" t="s">
        <v>136</v>
      </c>
      <c r="D66" s="15" t="n">
        <f aca="false">COUNTIF('Ngan hang cau hoi'!$C$2:$C$207,B66)</f>
        <v>1</v>
      </c>
      <c r="E66" s="14" t="s">
        <v>1758</v>
      </c>
    </row>
    <row r="67" customFormat="false" ht="15" hidden="false" customHeight="false" outlineLevel="0" collapsed="false">
      <c r="A67" s="16" t="s">
        <v>623</v>
      </c>
      <c r="B67" s="16" t="s">
        <v>813</v>
      </c>
      <c r="C67" s="16" t="s">
        <v>136</v>
      </c>
      <c r="D67" s="17" t="n">
        <f aca="false">COUNTIF('Ngan hang cau hoi'!$C$2:$C$207,B67)</f>
        <v>1</v>
      </c>
      <c r="E67" s="16" t="s">
        <v>1758</v>
      </c>
    </row>
    <row r="68" customFormat="false" ht="15" hidden="false" customHeight="false" outlineLevel="0" collapsed="false">
      <c r="A68" s="14" t="s">
        <v>623</v>
      </c>
      <c r="B68" s="14" t="s">
        <v>700</v>
      </c>
      <c r="C68" s="14" t="s">
        <v>136</v>
      </c>
      <c r="D68" s="15" t="n">
        <f aca="false">COUNTIF('Ngan hang cau hoi'!$C$2:$C$207,B68)</f>
        <v>1</v>
      </c>
      <c r="E68" s="14" t="s">
        <v>1758</v>
      </c>
    </row>
    <row r="69" customFormat="false" ht="15" hidden="false" customHeight="false" outlineLevel="0" collapsed="false">
      <c r="A69" s="16" t="s">
        <v>623</v>
      </c>
      <c r="B69" s="16" t="s">
        <v>804</v>
      </c>
      <c r="C69" s="16" t="s">
        <v>136</v>
      </c>
      <c r="D69" s="17" t="n">
        <f aca="false">COUNTIF('Ngan hang cau hoi'!$C$2:$C$207,B69)</f>
        <v>2</v>
      </c>
      <c r="E69" s="16" t="s">
        <v>1757</v>
      </c>
    </row>
    <row r="70" customFormat="false" ht="15" hidden="false" customHeight="false" outlineLevel="0" collapsed="false">
      <c r="A70" s="14" t="s">
        <v>623</v>
      </c>
      <c r="B70" s="14" t="s">
        <v>822</v>
      </c>
      <c r="C70" s="14" t="s">
        <v>136</v>
      </c>
      <c r="D70" s="15" t="n">
        <f aca="false">COUNTIF('Ngan hang cau hoi'!$C$2:$C$207,B70)</f>
        <v>1</v>
      </c>
      <c r="E70" s="14" t="s">
        <v>1758</v>
      </c>
    </row>
    <row r="71" customFormat="false" ht="15" hidden="false" customHeight="false" outlineLevel="0" collapsed="false">
      <c r="A71" s="16" t="s">
        <v>623</v>
      </c>
      <c r="B71" s="16" t="s">
        <v>770</v>
      </c>
      <c r="C71" s="16" t="s">
        <v>35</v>
      </c>
      <c r="D71" s="17" t="n">
        <f aca="false">COUNTIF('Ngan hang cau hoi'!$C$2:$C$207,B71)</f>
        <v>1</v>
      </c>
      <c r="E71" s="16" t="s">
        <v>1758</v>
      </c>
    </row>
    <row r="72" customFormat="false" ht="15" hidden="false" customHeight="false" outlineLevel="0" collapsed="false">
      <c r="A72" s="14" t="s">
        <v>623</v>
      </c>
      <c r="B72" s="14" t="s">
        <v>753</v>
      </c>
      <c r="C72" s="14" t="s">
        <v>35</v>
      </c>
      <c r="D72" s="15" t="n">
        <f aca="false">COUNTIF('Ngan hang cau hoi'!$C$2:$C$207,B72)</f>
        <v>2</v>
      </c>
      <c r="E72" s="14" t="s">
        <v>1757</v>
      </c>
    </row>
    <row r="73" customFormat="false" ht="15" hidden="false" customHeight="false" outlineLevel="0" collapsed="false">
      <c r="A73" s="16" t="s">
        <v>623</v>
      </c>
      <c r="B73" s="16" t="s">
        <v>727</v>
      </c>
      <c r="C73" s="16" t="s">
        <v>136</v>
      </c>
      <c r="D73" s="17" t="n">
        <f aca="false">COUNTIF('Ngan hang cau hoi'!$C$2:$C$207,B73)</f>
        <v>1</v>
      </c>
      <c r="E73" s="16" t="s">
        <v>1758</v>
      </c>
    </row>
    <row r="74" customFormat="false" ht="15" hidden="false" customHeight="false" outlineLevel="0" collapsed="false">
      <c r="A74" s="14" t="s">
        <v>623</v>
      </c>
      <c r="B74" s="14" t="s">
        <v>658</v>
      </c>
      <c r="C74" s="14" t="s">
        <v>136</v>
      </c>
      <c r="D74" s="15" t="n">
        <f aca="false">COUNTIF('Ngan hang cau hoi'!$C$2:$C$207,B74)</f>
        <v>4</v>
      </c>
      <c r="E74" s="14" t="s">
        <v>1757</v>
      </c>
    </row>
    <row r="75" customFormat="false" ht="15" hidden="false" customHeight="false" outlineLevel="0" collapsed="false">
      <c r="A75" s="16" t="s">
        <v>623</v>
      </c>
      <c r="B75" s="16" t="s">
        <v>691</v>
      </c>
      <c r="C75" s="16" t="s">
        <v>136</v>
      </c>
      <c r="D75" s="17" t="n">
        <f aca="false">COUNTIF('Ngan hang cau hoi'!$C$2:$C$207,B75)</f>
        <v>1</v>
      </c>
      <c r="E75" s="16" t="s">
        <v>1758</v>
      </c>
    </row>
    <row r="76" customFormat="false" ht="15" hidden="false" customHeight="false" outlineLevel="0" collapsed="false">
      <c r="A76" s="14" t="s">
        <v>623</v>
      </c>
      <c r="B76" s="14" t="s">
        <v>736</v>
      </c>
      <c r="C76" s="14" t="s">
        <v>35</v>
      </c>
      <c r="D76" s="15" t="n">
        <f aca="false">COUNTIF('Ngan hang cau hoi'!$C$2:$C$207,B76)</f>
        <v>1</v>
      </c>
      <c r="E76" s="14" t="s">
        <v>1758</v>
      </c>
    </row>
    <row r="77" customFormat="false" ht="15" hidden="false" customHeight="false" outlineLevel="0" collapsed="false">
      <c r="A77" s="16" t="s">
        <v>623</v>
      </c>
      <c r="B77" s="16" t="s">
        <v>718</v>
      </c>
      <c r="C77" s="16" t="s">
        <v>136</v>
      </c>
      <c r="D77" s="17" t="n">
        <f aca="false">COUNTIF('Ngan hang cau hoi'!$C$2:$C$207,B77)</f>
        <v>1</v>
      </c>
      <c r="E77" s="16" t="s">
        <v>1758</v>
      </c>
    </row>
    <row r="78" customFormat="false" ht="15" hidden="false" customHeight="false" outlineLevel="0" collapsed="false">
      <c r="A78" s="14" t="s">
        <v>623</v>
      </c>
      <c r="B78" s="14" t="s">
        <v>709</v>
      </c>
      <c r="C78" s="14" t="s">
        <v>136</v>
      </c>
      <c r="D78" s="15" t="n">
        <f aca="false">COUNTIF('Ngan hang cau hoi'!$C$2:$C$207,B78)</f>
        <v>1</v>
      </c>
      <c r="E78" s="14" t="s">
        <v>1758</v>
      </c>
    </row>
    <row r="79" customFormat="false" ht="15" hidden="false" customHeight="false" outlineLevel="0" collapsed="false">
      <c r="A79" s="16" t="s">
        <v>623</v>
      </c>
      <c r="B79" s="16" t="s">
        <v>624</v>
      </c>
      <c r="C79" s="16" t="s">
        <v>136</v>
      </c>
      <c r="D79" s="17" t="n">
        <f aca="false">COUNTIF('Ngan hang cau hoi'!$C$2:$C$207,B79)</f>
        <v>3</v>
      </c>
      <c r="E79" s="16" t="s">
        <v>1757</v>
      </c>
    </row>
    <row r="80" customFormat="false" ht="15" hidden="false" customHeight="false" outlineLevel="0" collapsed="false">
      <c r="A80" s="14" t="s">
        <v>1606</v>
      </c>
      <c r="B80" s="14" t="s">
        <v>1725</v>
      </c>
      <c r="C80" s="14" t="s">
        <v>35</v>
      </c>
      <c r="D80" s="15" t="n">
        <f aca="false">COUNTIF('Ngan hang cau hoi'!$C$2:$C$207,B80)</f>
        <v>3</v>
      </c>
      <c r="E80" s="14" t="s">
        <v>1757</v>
      </c>
    </row>
    <row r="81" customFormat="false" ht="15" hidden="false" customHeight="false" outlineLevel="0" collapsed="false">
      <c r="A81" s="16" t="s">
        <v>1606</v>
      </c>
      <c r="B81" s="16" t="s">
        <v>1716</v>
      </c>
      <c r="C81" s="16" t="s">
        <v>35</v>
      </c>
      <c r="D81" s="17" t="n">
        <f aca="false">COUNTIF('Ngan hang cau hoi'!$C$2:$C$207,B81)</f>
        <v>1</v>
      </c>
      <c r="E81" s="16" t="s">
        <v>1758</v>
      </c>
    </row>
    <row r="82" customFormat="false" ht="15" hidden="false" customHeight="false" outlineLevel="0" collapsed="false">
      <c r="A82" s="14" t="s">
        <v>1606</v>
      </c>
      <c r="B82" s="14" t="s">
        <v>1694</v>
      </c>
      <c r="C82" s="14" t="s">
        <v>35</v>
      </c>
      <c r="D82" s="15" t="n">
        <f aca="false">COUNTIF('Ngan hang cau hoi'!$C$2:$C$207,B82)</f>
        <v>3</v>
      </c>
      <c r="E82" s="14" t="s">
        <v>1757</v>
      </c>
    </row>
    <row r="83" customFormat="false" ht="15" hidden="false" customHeight="false" outlineLevel="0" collapsed="false">
      <c r="A83" s="16" t="s">
        <v>1606</v>
      </c>
      <c r="B83" s="16" t="s">
        <v>1685</v>
      </c>
      <c r="C83" s="16" t="s">
        <v>35</v>
      </c>
      <c r="D83" s="17" t="n">
        <f aca="false">COUNTIF('Ngan hang cau hoi'!$C$2:$C$207,B83)</f>
        <v>1</v>
      </c>
      <c r="E83" s="16" t="s">
        <v>1758</v>
      </c>
    </row>
    <row r="84" customFormat="false" ht="15" hidden="false" customHeight="false" outlineLevel="0" collapsed="false">
      <c r="A84" s="14" t="s">
        <v>1606</v>
      </c>
      <c r="B84" s="14" t="s">
        <v>1622</v>
      </c>
      <c r="C84" s="14" t="s">
        <v>35</v>
      </c>
      <c r="D84" s="15" t="n">
        <f aca="false">COUNTIF('Ngan hang cau hoi'!$C$2:$C$207,B84)</f>
        <v>5</v>
      </c>
      <c r="E84" s="14" t="s">
        <v>1757</v>
      </c>
    </row>
    <row r="85" customFormat="false" ht="15" hidden="false" customHeight="false" outlineLevel="0" collapsed="false">
      <c r="A85" s="16" t="s">
        <v>1606</v>
      </c>
      <c r="B85" s="16" t="s">
        <v>1668</v>
      </c>
      <c r="C85" s="16" t="s">
        <v>35</v>
      </c>
      <c r="D85" s="17" t="n">
        <f aca="false">COUNTIF('Ngan hang cau hoi'!$C$2:$C$207,B85)</f>
        <v>2</v>
      </c>
      <c r="E85" s="16" t="s">
        <v>1757</v>
      </c>
    </row>
    <row r="86" customFormat="false" ht="15" hidden="false" customHeight="false" outlineLevel="0" collapsed="false">
      <c r="A86" s="14" t="s">
        <v>1606</v>
      </c>
      <c r="B86" s="14" t="s">
        <v>1741</v>
      </c>
      <c r="C86" s="14" t="s">
        <v>35</v>
      </c>
      <c r="D86" s="15" t="n">
        <f aca="false">COUNTIF('Ngan hang cau hoi'!$C$2:$C$207,B86)</f>
        <v>1</v>
      </c>
      <c r="E86" s="14" t="s">
        <v>1758</v>
      </c>
    </row>
    <row r="87" customFormat="false" ht="15" hidden="false" customHeight="false" outlineLevel="0" collapsed="false">
      <c r="A87" s="16" t="s">
        <v>1606</v>
      </c>
      <c r="B87" s="16" t="s">
        <v>1564</v>
      </c>
      <c r="C87" s="16" t="s">
        <v>35</v>
      </c>
      <c r="D87" s="17" t="n">
        <f aca="false">COUNTIF('Ngan hang cau hoi'!$C$2:$C$207,B87)</f>
        <v>1</v>
      </c>
      <c r="E87" s="16" t="s">
        <v>1758</v>
      </c>
    </row>
    <row r="88" customFormat="false" ht="15" hidden="false" customHeight="false" outlineLevel="0" collapsed="false">
      <c r="A88" s="18" t="s">
        <v>1606</v>
      </c>
      <c r="B88" s="18" t="s">
        <v>1759</v>
      </c>
      <c r="C88" s="18" t="s">
        <v>35</v>
      </c>
      <c r="D88" s="19" t="n">
        <f aca="false">COUNTIF('Ngan hang cau hoi'!$C$2:$C$207,B88)</f>
        <v>0</v>
      </c>
      <c r="E88" s="18" t="s">
        <v>1760</v>
      </c>
    </row>
    <row r="89" customFormat="false" ht="15" hidden="false" customHeight="false" outlineLevel="0" collapsed="false">
      <c r="A89" s="16" t="s">
        <v>1606</v>
      </c>
      <c r="B89" s="16" t="s">
        <v>1607</v>
      </c>
      <c r="C89" s="16" t="s">
        <v>35</v>
      </c>
      <c r="D89" s="17" t="n">
        <f aca="false">COUNTIF('Ngan hang cau hoi'!$C$2:$C$207,B89)</f>
        <v>2</v>
      </c>
      <c r="E89" s="16" t="s">
        <v>1757</v>
      </c>
    </row>
    <row r="90" customFormat="false" ht="15" hidden="false" customHeight="false" outlineLevel="0" collapsed="false">
      <c r="A90" s="14" t="s">
        <v>1606</v>
      </c>
      <c r="B90" s="14" t="s">
        <v>1630</v>
      </c>
      <c r="C90" s="14" t="s">
        <v>35</v>
      </c>
      <c r="D90" s="15" t="n">
        <f aca="false">COUNTIF('Ngan hang cau hoi'!$C$2:$C$207,B90)</f>
        <v>1</v>
      </c>
      <c r="E90" s="14" t="s">
        <v>1758</v>
      </c>
    </row>
    <row r="91" customFormat="false" ht="15" hidden="false" customHeight="false" outlineLevel="0" collapsed="false">
      <c r="A91" s="16" t="s">
        <v>1761</v>
      </c>
      <c r="B91" s="16" t="s">
        <v>406</v>
      </c>
      <c r="C91" s="16" t="s">
        <v>35</v>
      </c>
      <c r="D91" s="17" t="n">
        <f aca="false">COUNTIF('Ngan hang cau hoi'!$C$2:$C$207,B91)</f>
        <v>3</v>
      </c>
      <c r="E91" s="16" t="s">
        <v>1757</v>
      </c>
    </row>
    <row r="92" customFormat="false" ht="15" hidden="false" customHeight="false" outlineLevel="0" collapsed="false">
      <c r="A92" s="14" t="s">
        <v>1761</v>
      </c>
      <c r="B92" s="14" t="s">
        <v>282</v>
      </c>
      <c r="C92" s="14" t="s">
        <v>136</v>
      </c>
      <c r="D92" s="15" t="n">
        <f aca="false">COUNTIF('Ngan hang cau hoi'!$C$2:$C$207,B92)</f>
        <v>3</v>
      </c>
      <c r="E92" s="14" t="s">
        <v>1757</v>
      </c>
    </row>
    <row r="93" customFormat="false" ht="15" hidden="false" customHeight="false" outlineLevel="0" collapsed="false">
      <c r="A93" s="16" t="s">
        <v>1761</v>
      </c>
      <c r="B93" s="16" t="s">
        <v>265</v>
      </c>
      <c r="C93" s="16" t="s">
        <v>136</v>
      </c>
      <c r="D93" s="17" t="n">
        <f aca="false">COUNTIF('Ngan hang cau hoi'!$C$2:$C$207,B93)</f>
        <v>2</v>
      </c>
      <c r="E93" s="16" t="s">
        <v>1757</v>
      </c>
    </row>
    <row r="94" customFormat="false" ht="15" hidden="false" customHeight="false" outlineLevel="0" collapsed="false">
      <c r="A94" s="14" t="s">
        <v>1761</v>
      </c>
      <c r="B94" s="14" t="s">
        <v>348</v>
      </c>
      <c r="C94" s="14" t="s">
        <v>136</v>
      </c>
      <c r="D94" s="15" t="n">
        <f aca="false">COUNTIF('Ngan hang cau hoi'!$C$2:$C$207,B94)</f>
        <v>2</v>
      </c>
      <c r="E94" s="14" t="s">
        <v>1757</v>
      </c>
    </row>
    <row r="95" customFormat="false" ht="15" hidden="false" customHeight="false" outlineLevel="0" collapsed="false">
      <c r="A95" s="16" t="s">
        <v>1761</v>
      </c>
      <c r="B95" s="16" t="s">
        <v>331</v>
      </c>
      <c r="C95" s="16" t="s">
        <v>136</v>
      </c>
      <c r="D95" s="17" t="n">
        <f aca="false">COUNTIF('Ngan hang cau hoi'!$C$2:$C$207,B95)</f>
        <v>2</v>
      </c>
      <c r="E95" s="16" t="s">
        <v>1757</v>
      </c>
    </row>
    <row r="96" customFormat="false" ht="15" hidden="false" customHeight="false" outlineLevel="0" collapsed="false">
      <c r="A96" s="14" t="s">
        <v>1761</v>
      </c>
      <c r="B96" s="14" t="s">
        <v>380</v>
      </c>
      <c r="C96" s="14" t="s">
        <v>35</v>
      </c>
      <c r="D96" s="15" t="n">
        <f aca="false">COUNTIF('Ngan hang cau hoi'!$C$2:$C$207,B96)</f>
        <v>2</v>
      </c>
      <c r="E96" s="14" t="s">
        <v>1757</v>
      </c>
    </row>
    <row r="97" customFormat="false" ht="15" hidden="false" customHeight="false" outlineLevel="0" collapsed="false">
      <c r="A97" s="16" t="s">
        <v>1761</v>
      </c>
      <c r="B97" s="16" t="s">
        <v>364</v>
      </c>
      <c r="C97" s="16" t="s">
        <v>136</v>
      </c>
      <c r="D97" s="17" t="n">
        <f aca="false">COUNTIF('Ngan hang cau hoi'!$C$2:$C$207,B97)</f>
        <v>2</v>
      </c>
      <c r="E97" s="16" t="s">
        <v>1757</v>
      </c>
    </row>
    <row r="98" customFormat="false" ht="15" hidden="false" customHeight="false" outlineLevel="0" collapsed="false">
      <c r="A98" s="14" t="s">
        <v>1761</v>
      </c>
      <c r="B98" s="14" t="s">
        <v>398</v>
      </c>
      <c r="C98" s="14" t="s">
        <v>35</v>
      </c>
      <c r="D98" s="15" t="n">
        <f aca="false">COUNTIF('Ngan hang cau hoi'!$C$2:$C$207,B98)</f>
        <v>1</v>
      </c>
      <c r="E98" s="14" t="s">
        <v>1758</v>
      </c>
    </row>
    <row r="99" customFormat="false" ht="15" hidden="false" customHeight="false" outlineLevel="0" collapsed="false">
      <c r="A99" s="16" t="s">
        <v>1761</v>
      </c>
      <c r="B99" s="16" t="s">
        <v>241</v>
      </c>
      <c r="C99" s="16" t="s">
        <v>136</v>
      </c>
      <c r="D99" s="17" t="n">
        <f aca="false">COUNTIF('Ngan hang cau hoi'!$C$2:$C$207,B99)</f>
        <v>3</v>
      </c>
      <c r="E99" s="16" t="s">
        <v>1757</v>
      </c>
    </row>
    <row r="100" customFormat="false" ht="15" hidden="false" customHeight="false" outlineLevel="0" collapsed="false">
      <c r="A100" s="14" t="s">
        <v>1761</v>
      </c>
      <c r="B100" s="14" t="s">
        <v>307</v>
      </c>
      <c r="C100" s="14" t="s">
        <v>136</v>
      </c>
      <c r="D100" s="15" t="n">
        <f aca="false">COUNTIF('Ngan hang cau hoi'!$C$2:$C$207,B100)</f>
        <v>3</v>
      </c>
      <c r="E100" s="14" t="s">
        <v>1757</v>
      </c>
    </row>
    <row r="101" customFormat="false" ht="15" hidden="false" customHeight="false" outlineLevel="0" collapsed="false">
      <c r="A101" s="16" t="s">
        <v>33</v>
      </c>
      <c r="B101" s="16" t="s">
        <v>117</v>
      </c>
      <c r="C101" s="16" t="s">
        <v>35</v>
      </c>
      <c r="D101" s="17" t="n">
        <f aca="false">COUNTIF('Ngan hang cau hoi'!$C$2:$C$207,B101)</f>
        <v>2</v>
      </c>
      <c r="E101" s="16" t="s">
        <v>1757</v>
      </c>
    </row>
    <row r="102" customFormat="false" ht="15" hidden="false" customHeight="false" outlineLevel="0" collapsed="false">
      <c r="A102" s="14" t="s">
        <v>33</v>
      </c>
      <c r="B102" s="14" t="s">
        <v>135</v>
      </c>
      <c r="C102" s="14" t="s">
        <v>136</v>
      </c>
      <c r="D102" s="15" t="n">
        <f aca="false">COUNTIF('Ngan hang cau hoi'!$C$2:$C$207,B102)</f>
        <v>2</v>
      </c>
      <c r="E102" s="14" t="s">
        <v>1757</v>
      </c>
    </row>
    <row r="103" customFormat="false" ht="15" hidden="false" customHeight="false" outlineLevel="0" collapsed="false">
      <c r="A103" s="16" t="s">
        <v>33</v>
      </c>
      <c r="B103" s="16" t="s">
        <v>153</v>
      </c>
      <c r="C103" s="16" t="s">
        <v>136</v>
      </c>
      <c r="D103" s="17" t="n">
        <f aca="false">COUNTIF('Ngan hang cau hoi'!$C$2:$C$207,B103)</f>
        <v>1</v>
      </c>
      <c r="E103" s="16" t="s">
        <v>1758</v>
      </c>
    </row>
    <row r="104" customFormat="false" ht="15" hidden="false" customHeight="false" outlineLevel="0" collapsed="false">
      <c r="A104" s="14" t="s">
        <v>33</v>
      </c>
      <c r="B104" s="14" t="s">
        <v>223</v>
      </c>
      <c r="C104" s="14" t="s">
        <v>35</v>
      </c>
      <c r="D104" s="15" t="n">
        <f aca="false">COUNTIF('Ngan hang cau hoi'!$C$2:$C$207,B104)</f>
        <v>2</v>
      </c>
      <c r="E104" s="14" t="s">
        <v>1757</v>
      </c>
    </row>
    <row r="105" customFormat="false" ht="15" hidden="false" customHeight="false" outlineLevel="0" collapsed="false">
      <c r="A105" s="16" t="s">
        <v>33</v>
      </c>
      <c r="B105" s="16" t="s">
        <v>205</v>
      </c>
      <c r="C105" s="16" t="s">
        <v>136</v>
      </c>
      <c r="D105" s="17" t="n">
        <f aca="false">COUNTIF('Ngan hang cau hoi'!$C$2:$C$207,B105)</f>
        <v>1</v>
      </c>
      <c r="E105" s="16" t="s">
        <v>1758</v>
      </c>
    </row>
    <row r="106" customFormat="false" ht="15" hidden="false" customHeight="false" outlineLevel="0" collapsed="false">
      <c r="A106" s="14" t="s">
        <v>33</v>
      </c>
      <c r="B106" s="14" t="s">
        <v>84</v>
      </c>
      <c r="C106" s="14" t="s">
        <v>35</v>
      </c>
      <c r="D106" s="15" t="n">
        <f aca="false">COUNTIF('Ngan hang cau hoi'!$C$2:$C$207,B106)</f>
        <v>3</v>
      </c>
      <c r="E106" s="14" t="s">
        <v>1757</v>
      </c>
    </row>
    <row r="107" customFormat="false" ht="15" hidden="false" customHeight="false" outlineLevel="0" collapsed="false">
      <c r="A107" s="16" t="s">
        <v>33</v>
      </c>
      <c r="B107" s="16" t="s">
        <v>34</v>
      </c>
      <c r="C107" s="16" t="s">
        <v>35</v>
      </c>
      <c r="D107" s="17" t="n">
        <f aca="false">COUNTIF('Ngan hang cau hoi'!$C$2:$C$207,B107)</f>
        <v>5</v>
      </c>
      <c r="E107" s="16" t="s">
        <v>1757</v>
      </c>
    </row>
    <row r="108" customFormat="false" ht="15" hidden="false" customHeight="false" outlineLevel="0" collapsed="false">
      <c r="A108" s="14" t="s">
        <v>33</v>
      </c>
      <c r="B108" s="14" t="s">
        <v>162</v>
      </c>
      <c r="C108" s="14" t="s">
        <v>136</v>
      </c>
      <c r="D108" s="15" t="n">
        <f aca="false">COUNTIF('Ngan hang cau hoi'!$C$2:$C$207,B108)</f>
        <v>2</v>
      </c>
      <c r="E108" s="14" t="s">
        <v>1757</v>
      </c>
    </row>
    <row r="109" customFormat="false" ht="15" hidden="false" customHeight="false" outlineLevel="0" collapsed="false">
      <c r="A109" s="16" t="s">
        <v>33</v>
      </c>
      <c r="B109" s="16" t="s">
        <v>108</v>
      </c>
      <c r="C109" s="16" t="s">
        <v>35</v>
      </c>
      <c r="D109" s="17" t="n">
        <f aca="false">COUNTIF('Ngan hang cau hoi'!$C$2:$C$207,B109)</f>
        <v>1</v>
      </c>
      <c r="E109" s="16" t="s">
        <v>1758</v>
      </c>
    </row>
    <row r="110" customFormat="false" ht="15" hidden="false" customHeight="false" outlineLevel="0" collapsed="false">
      <c r="A110" s="14" t="s">
        <v>33</v>
      </c>
      <c r="B110" s="14" t="s">
        <v>196</v>
      </c>
      <c r="C110" s="14" t="s">
        <v>136</v>
      </c>
      <c r="D110" s="15" t="n">
        <f aca="false">COUNTIF('Ngan hang cau hoi'!$C$2:$C$207,B110)</f>
        <v>1</v>
      </c>
      <c r="E110" s="14" t="s">
        <v>1758</v>
      </c>
    </row>
    <row r="111" customFormat="false" ht="15" hidden="false" customHeight="false" outlineLevel="0" collapsed="false">
      <c r="A111" s="16" t="s">
        <v>33</v>
      </c>
      <c r="B111" s="16" t="s">
        <v>214</v>
      </c>
      <c r="C111" s="16" t="s">
        <v>35</v>
      </c>
      <c r="D111" s="17" t="n">
        <f aca="false">COUNTIF('Ngan hang cau hoi'!$C$2:$C$207,B111)</f>
        <v>1</v>
      </c>
      <c r="E111" s="16" t="s">
        <v>1758</v>
      </c>
    </row>
    <row r="112" customFormat="false" ht="15" hidden="false" customHeight="false" outlineLevel="0" collapsed="false">
      <c r="A112" s="14" t="s">
        <v>33</v>
      </c>
      <c r="B112" s="14" t="s">
        <v>179</v>
      </c>
      <c r="C112" s="14" t="s">
        <v>35</v>
      </c>
      <c r="D112" s="15" t="n">
        <f aca="false">COUNTIF('Ngan hang cau hoi'!$C$2:$C$207,B112)</f>
        <v>2</v>
      </c>
      <c r="E112" s="14" t="s">
        <v>1757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16"/>
    <col collapsed="false" customWidth="true" hidden="false" outlineLevel="0" max="3" min="3" style="0" width="14"/>
    <col collapsed="false" customWidth="true" hidden="false" outlineLevel="0" max="4" min="4" style="0" width="13"/>
  </cols>
  <sheetData>
    <row r="1" customFormat="false" ht="15" hidden="false" customHeight="false" outlineLevel="0" collapsed="false">
      <c r="A1" s="13" t="s">
        <v>1762</v>
      </c>
      <c r="B1" s="13" t="s">
        <v>6</v>
      </c>
      <c r="C1" s="13" t="s">
        <v>30</v>
      </c>
      <c r="D1" s="13" t="s">
        <v>1763</v>
      </c>
    </row>
    <row r="2" customFormat="false" ht="15" hidden="false" customHeight="false" outlineLevel="0" collapsed="false">
      <c r="A2" s="14" t="s">
        <v>1335</v>
      </c>
      <c r="B2" s="14" t="s">
        <v>793</v>
      </c>
      <c r="C2" s="14" t="s">
        <v>45</v>
      </c>
      <c r="D2" s="15" t="n">
        <f aca="false">COUNTIF('Ngan hang cau hoi'!$P$2:$P$207,A2)</f>
        <v>4</v>
      </c>
    </row>
    <row r="3" customFormat="false" ht="15" hidden="false" customHeight="false" outlineLevel="0" collapsed="false">
      <c r="A3" s="16" t="s">
        <v>982</v>
      </c>
      <c r="B3" s="16" t="s">
        <v>64</v>
      </c>
      <c r="C3" s="16" t="s">
        <v>73</v>
      </c>
      <c r="D3" s="17" t="n">
        <f aca="false">COUNTIF('Ngan hang cau hoi'!$P$2:$P$207,A3)</f>
        <v>3</v>
      </c>
    </row>
    <row r="4" customFormat="false" ht="15" hidden="false" customHeight="false" outlineLevel="0" collapsed="false">
      <c r="A4" s="14" t="s">
        <v>1311</v>
      </c>
      <c r="B4" s="14" t="s">
        <v>44</v>
      </c>
      <c r="C4" s="14" t="s">
        <v>45</v>
      </c>
      <c r="D4" s="15" t="n">
        <f aca="false">COUNTIF('Ngan hang cau hoi'!$P$2:$P$207,A4)</f>
        <v>3</v>
      </c>
    </row>
    <row r="5" customFormat="false" ht="15" hidden="false" customHeight="false" outlineLevel="0" collapsed="false">
      <c r="A5" s="16" t="s">
        <v>1351</v>
      </c>
      <c r="B5" s="16" t="s">
        <v>64</v>
      </c>
      <c r="C5" s="16" t="s">
        <v>45</v>
      </c>
      <c r="D5" s="17" t="n">
        <f aca="false">COUNTIF('Ngan hang cau hoi'!$P$2:$P$207,A5)</f>
        <v>3</v>
      </c>
    </row>
    <row r="6" customFormat="false" ht="15" hidden="false" customHeight="false" outlineLevel="0" collapsed="false">
      <c r="A6" s="14" t="s">
        <v>413</v>
      </c>
      <c r="B6" s="14" t="s">
        <v>54</v>
      </c>
      <c r="C6" s="14" t="s">
        <v>73</v>
      </c>
      <c r="D6" s="15" t="n">
        <f aca="false">COUNTIF('Ngan hang cau hoi'!$P$2:$P$207,A6)</f>
        <v>2</v>
      </c>
    </row>
    <row r="7" customFormat="false" ht="15" hidden="false" customHeight="false" outlineLevel="0" collapsed="false">
      <c r="A7" s="16" t="s">
        <v>346</v>
      </c>
      <c r="B7" s="16" t="s">
        <v>54</v>
      </c>
      <c r="C7" s="16" t="s">
        <v>73</v>
      </c>
      <c r="D7" s="17" t="n">
        <f aca="false">COUNTIF('Ngan hang cau hoi'!$P$2:$P$207,A7)</f>
        <v>2</v>
      </c>
    </row>
    <row r="8" customFormat="false" ht="15" hidden="false" customHeight="false" outlineLevel="0" collapsed="false">
      <c r="A8" s="14" t="s">
        <v>256</v>
      </c>
      <c r="B8" s="14" t="s">
        <v>54</v>
      </c>
      <c r="C8" s="14" t="s">
        <v>73</v>
      </c>
      <c r="D8" s="15" t="n">
        <f aca="false">COUNTIF('Ngan hang cau hoi'!$P$2:$P$207,A8)</f>
        <v>2</v>
      </c>
    </row>
    <row r="9" customFormat="false" ht="15" hidden="false" customHeight="false" outlineLevel="0" collapsed="false">
      <c r="A9" s="16" t="s">
        <v>1007</v>
      </c>
      <c r="B9" s="16" t="s">
        <v>64</v>
      </c>
      <c r="C9" s="16" t="s">
        <v>73</v>
      </c>
      <c r="D9" s="17" t="n">
        <f aca="false">COUNTIF('Ngan hang cau hoi'!$P$2:$P$207,A9)</f>
        <v>2</v>
      </c>
    </row>
    <row r="10" customFormat="false" ht="15" hidden="false" customHeight="false" outlineLevel="0" collapsed="false">
      <c r="A10" s="14" t="s">
        <v>957</v>
      </c>
      <c r="B10" s="14" t="s">
        <v>64</v>
      </c>
      <c r="C10" s="14" t="s">
        <v>73</v>
      </c>
      <c r="D10" s="15" t="n">
        <f aca="false">COUNTIF('Ngan hang cau hoi'!$P$2:$P$207,A10)</f>
        <v>2</v>
      </c>
    </row>
    <row r="11" customFormat="false" ht="15" hidden="false" customHeight="false" outlineLevel="0" collapsed="false">
      <c r="A11" s="16" t="s">
        <v>1049</v>
      </c>
      <c r="B11" s="16" t="s">
        <v>64</v>
      </c>
      <c r="C11" s="16" t="s">
        <v>73</v>
      </c>
      <c r="D11" s="17" t="n">
        <f aca="false">COUNTIF('Ngan hang cau hoi'!$P$2:$P$207,A11)</f>
        <v>2</v>
      </c>
    </row>
    <row r="12" customFormat="false" ht="15" hidden="false" customHeight="false" outlineLevel="0" collapsed="false">
      <c r="A12" s="14" t="s">
        <v>873</v>
      </c>
      <c r="B12" s="14" t="s">
        <v>64</v>
      </c>
      <c r="C12" s="14" t="s">
        <v>73</v>
      </c>
      <c r="D12" s="15" t="n">
        <f aca="false">COUNTIF('Ngan hang cau hoi'!$P$2:$P$207,A12)</f>
        <v>2</v>
      </c>
    </row>
    <row r="13" customFormat="false" ht="15" hidden="false" customHeight="false" outlineLevel="0" collapsed="false">
      <c r="A13" s="16" t="s">
        <v>486</v>
      </c>
      <c r="B13" s="16" t="s">
        <v>54</v>
      </c>
      <c r="C13" s="16" t="s">
        <v>45</v>
      </c>
      <c r="D13" s="17" t="n">
        <f aca="false">COUNTIF('Ngan hang cau hoi'!$P$2:$P$207,A13)</f>
        <v>2</v>
      </c>
    </row>
    <row r="14" customFormat="false" ht="15" hidden="false" customHeight="false" outlineLevel="0" collapsed="false">
      <c r="A14" s="14" t="s">
        <v>1732</v>
      </c>
      <c r="B14" s="14" t="s">
        <v>54</v>
      </c>
      <c r="C14" s="14" t="s">
        <v>73</v>
      </c>
      <c r="D14" s="15" t="n">
        <f aca="false">COUNTIF('Ngan hang cau hoi'!$P$2:$P$207,A14)</f>
        <v>2</v>
      </c>
    </row>
    <row r="15" customFormat="false" ht="15" hidden="false" customHeight="false" outlineLevel="0" collapsed="false">
      <c r="A15" s="16" t="s">
        <v>1207</v>
      </c>
      <c r="B15" s="16" t="s">
        <v>64</v>
      </c>
      <c r="C15" s="16" t="s">
        <v>73</v>
      </c>
      <c r="D15" s="17" t="n">
        <f aca="false">COUNTIF('Ngan hang cau hoi'!$P$2:$P$207,A15)</f>
        <v>2</v>
      </c>
    </row>
    <row r="16" customFormat="false" ht="15" hidden="false" customHeight="false" outlineLevel="0" collapsed="false">
      <c r="A16" s="14" t="s">
        <v>534</v>
      </c>
      <c r="B16" s="14" t="s">
        <v>64</v>
      </c>
      <c r="C16" s="14" t="s">
        <v>45</v>
      </c>
      <c r="D16" s="15" t="n">
        <f aca="false">COUNTIF('Ngan hang cau hoi'!$P$2:$P$207,A16)</f>
        <v>2</v>
      </c>
    </row>
    <row r="17" customFormat="false" ht="15" hidden="false" customHeight="false" outlineLevel="0" collapsed="false">
      <c r="A17" s="16" t="s">
        <v>314</v>
      </c>
      <c r="B17" s="16" t="s">
        <v>54</v>
      </c>
      <c r="C17" s="16" t="s">
        <v>73</v>
      </c>
      <c r="D17" s="17" t="n">
        <f aca="false">COUNTIF('Ngan hang cau hoi'!$P$2:$P$207,A17)</f>
        <v>0</v>
      </c>
    </row>
    <row r="18" customFormat="false" ht="15" hidden="false" customHeight="false" outlineLevel="0" collapsed="false">
      <c r="A18" s="14" t="s">
        <v>1531</v>
      </c>
      <c r="B18" s="14" t="s">
        <v>793</v>
      </c>
      <c r="C18" s="14" t="s">
        <v>45</v>
      </c>
      <c r="D18" s="15" t="n">
        <f aca="false">COUNTIF('Ngan hang cau hoi'!$P$2:$P$207,A18)</f>
        <v>2</v>
      </c>
    </row>
    <row r="19" customFormat="false" ht="15" hidden="false" customHeight="false" outlineLevel="0" collapsed="false">
      <c r="A19" s="16" t="s">
        <v>1482</v>
      </c>
      <c r="B19" s="16" t="s">
        <v>793</v>
      </c>
      <c r="C19" s="16" t="s">
        <v>45</v>
      </c>
      <c r="D19" s="17" t="n">
        <f aca="false">COUNTIF('Ngan hang cau hoi'!$P$2:$P$207,A19)</f>
        <v>2</v>
      </c>
    </row>
    <row r="20" customFormat="false" ht="15" hidden="false" customHeight="false" outlineLevel="0" collapsed="false">
      <c r="A20" s="14" t="s">
        <v>1359</v>
      </c>
      <c r="B20" s="14" t="s">
        <v>54</v>
      </c>
      <c r="C20" s="14" t="s">
        <v>45</v>
      </c>
      <c r="D20" s="15" t="n">
        <f aca="false">COUNTIF('Ngan hang cau hoi'!$P$2:$P$207,A20)</f>
        <v>2</v>
      </c>
    </row>
    <row r="21" customFormat="false" ht="15" hidden="false" customHeight="false" outlineLevel="0" collapsed="false">
      <c r="A21" s="16" t="s">
        <v>1613</v>
      </c>
      <c r="B21" s="16" t="s">
        <v>64</v>
      </c>
      <c r="C21" s="16" t="s">
        <v>45</v>
      </c>
      <c r="D21" s="17" t="n">
        <f aca="false">COUNTIF('Ngan hang cau hoi'!$P$2:$P$207,A21)</f>
        <v>2</v>
      </c>
    </row>
    <row r="22" customFormat="false" ht="15" hidden="false" customHeight="false" outlineLevel="0" collapsed="false">
      <c r="A22" s="14" t="s">
        <v>437</v>
      </c>
      <c r="B22" s="14" t="s">
        <v>54</v>
      </c>
      <c r="C22" s="14" t="s">
        <v>45</v>
      </c>
      <c r="D22" s="15" t="n">
        <f aca="false">COUNTIF('Ngan hang cau hoi'!$P$2:$P$207,A22)</f>
        <v>2</v>
      </c>
    </row>
    <row r="23" customFormat="false" ht="15" hidden="false" customHeight="false" outlineLevel="0" collapsed="false">
      <c r="A23" s="16" t="s">
        <v>186</v>
      </c>
      <c r="B23" s="16" t="s">
        <v>54</v>
      </c>
      <c r="C23" s="16" t="s">
        <v>45</v>
      </c>
      <c r="D23" s="17" t="n">
        <f aca="false">COUNTIF('Ngan hang cau hoi'!$P$2:$P$207,A23)</f>
        <v>2</v>
      </c>
    </row>
    <row r="24" customFormat="false" ht="15" hidden="false" customHeight="false" outlineLevel="0" collapsed="false">
      <c r="A24" s="14" t="s">
        <v>1303</v>
      </c>
      <c r="B24" s="14" t="s">
        <v>64</v>
      </c>
      <c r="C24" s="14" t="s">
        <v>45</v>
      </c>
      <c r="D24" s="15" t="n">
        <f aca="false">COUNTIF('Ngan hang cau hoi'!$P$2:$P$207,A24)</f>
        <v>2</v>
      </c>
    </row>
    <row r="25" customFormat="false" ht="15" hidden="false" customHeight="false" outlineLevel="0" collapsed="false">
      <c r="A25" s="16" t="s">
        <v>338</v>
      </c>
      <c r="B25" s="16" t="s">
        <v>54</v>
      </c>
      <c r="C25" s="16" t="s">
        <v>45</v>
      </c>
      <c r="D25" s="17" t="n">
        <f aca="false">COUNTIF('Ngan hang cau hoi'!$P$2:$P$207,A25)</f>
        <v>2</v>
      </c>
    </row>
    <row r="26" customFormat="false" ht="15" hidden="false" customHeight="false" outlineLevel="0" collapsed="false">
      <c r="A26" s="14" t="s">
        <v>65</v>
      </c>
      <c r="B26" s="14" t="s">
        <v>64</v>
      </c>
      <c r="C26" s="14" t="s">
        <v>45</v>
      </c>
      <c r="D26" s="15" t="n">
        <f aca="false">COUNTIF('Ngan hang cau hoi'!$P$2:$P$207,A26)</f>
        <v>1</v>
      </c>
    </row>
    <row r="27" customFormat="false" ht="15" hidden="false" customHeight="false" outlineLevel="0" collapsed="false">
      <c r="A27" s="16" t="s">
        <v>1489</v>
      </c>
      <c r="B27" s="16" t="s">
        <v>54</v>
      </c>
      <c r="C27" s="16" t="s">
        <v>45</v>
      </c>
      <c r="D27" s="17" t="n">
        <f aca="false">COUNTIF('Ngan hang cau hoi'!$P$2:$P$207,A27)</f>
        <v>1</v>
      </c>
    </row>
    <row r="28" customFormat="false" ht="15" hidden="false" customHeight="false" outlineLevel="0" collapsed="false">
      <c r="A28" s="14" t="s">
        <v>1537</v>
      </c>
      <c r="B28" s="14" t="s">
        <v>793</v>
      </c>
      <c r="C28" s="14" t="s">
        <v>45</v>
      </c>
      <c r="D28" s="15" t="n">
        <f aca="false">COUNTIF('Ngan hang cau hoi'!$P$2:$P$207,A28)</f>
        <v>1</v>
      </c>
    </row>
    <row r="29" customFormat="false" ht="15" hidden="false" customHeight="false" outlineLevel="0" collapsed="false">
      <c r="A29" s="16" t="s">
        <v>1117</v>
      </c>
      <c r="B29" s="16" t="s">
        <v>64</v>
      </c>
      <c r="C29" s="16" t="s">
        <v>73</v>
      </c>
      <c r="D29" s="17" t="n">
        <f aca="false">COUNTIF('Ngan hang cau hoi'!$P$2:$P$207,A29)</f>
        <v>1</v>
      </c>
    </row>
    <row r="30" customFormat="false" ht="15" hidden="false" customHeight="false" outlineLevel="0" collapsed="false">
      <c r="A30" s="14" t="s">
        <v>621</v>
      </c>
      <c r="B30" s="14" t="s">
        <v>64</v>
      </c>
      <c r="C30" s="14" t="s">
        <v>45</v>
      </c>
      <c r="D30" s="15" t="n">
        <f aca="false">COUNTIF('Ngan hang cau hoi'!$P$2:$P$207,A30)</f>
        <v>1</v>
      </c>
    </row>
    <row r="31" customFormat="false" ht="15" hidden="false" customHeight="false" outlineLevel="0" collapsed="false">
      <c r="A31" s="16" t="s">
        <v>665</v>
      </c>
      <c r="B31" s="16" t="s">
        <v>54</v>
      </c>
      <c r="C31" s="16" t="s">
        <v>73</v>
      </c>
      <c r="D31" s="17" t="n">
        <f aca="false">COUNTIF('Ngan hang cau hoi'!$P$2:$P$207,A31)</f>
        <v>1</v>
      </c>
    </row>
    <row r="32" customFormat="false" ht="15" hidden="false" customHeight="false" outlineLevel="0" collapsed="false">
      <c r="A32" s="14" t="s">
        <v>689</v>
      </c>
      <c r="B32" s="14" t="s">
        <v>54</v>
      </c>
      <c r="C32" s="14" t="s">
        <v>73</v>
      </c>
      <c r="D32" s="15" t="n">
        <f aca="false">COUNTIF('Ngan hang cau hoi'!$P$2:$P$207,A32)</f>
        <v>1</v>
      </c>
    </row>
    <row r="33" customFormat="false" ht="15" hidden="false" customHeight="false" outlineLevel="0" collapsed="false">
      <c r="A33" s="16" t="s">
        <v>881</v>
      </c>
      <c r="B33" s="16" t="s">
        <v>54</v>
      </c>
      <c r="C33" s="16" t="s">
        <v>73</v>
      </c>
      <c r="D33" s="17" t="n">
        <f aca="false">COUNTIF('Ngan hang cau hoi'!$P$2:$P$207,A33)</f>
        <v>1</v>
      </c>
    </row>
    <row r="34" customFormat="false" ht="15" hidden="false" customHeight="false" outlineLevel="0" collapsed="false">
      <c r="A34" s="14" t="s">
        <v>785</v>
      </c>
      <c r="B34" s="14" t="s">
        <v>54</v>
      </c>
      <c r="C34" s="14" t="s">
        <v>73</v>
      </c>
      <c r="D34" s="15" t="n">
        <f aca="false">COUNTIF('Ngan hang cau hoi'!$P$2:$P$207,A34)</f>
        <v>1</v>
      </c>
    </row>
    <row r="35" customFormat="false" ht="15" hidden="false" customHeight="false" outlineLevel="0" collapsed="false">
      <c r="A35" s="16" t="s">
        <v>387</v>
      </c>
      <c r="B35" s="16" t="s">
        <v>54</v>
      </c>
      <c r="C35" s="16" t="s">
        <v>45</v>
      </c>
      <c r="D35" s="17" t="n">
        <f aca="false">COUNTIF('Ngan hang cau hoi'!$P$2:$P$207,A35)</f>
        <v>1</v>
      </c>
    </row>
    <row r="36" customFormat="false" ht="15" hidden="false" customHeight="false" outlineLevel="0" collapsed="false">
      <c r="A36" s="14" t="s">
        <v>133</v>
      </c>
      <c r="B36" s="14" t="s">
        <v>54</v>
      </c>
      <c r="C36" s="14" t="s">
        <v>73</v>
      </c>
      <c r="D36" s="15" t="n">
        <f aca="false">COUNTIF('Ngan hang cau hoi'!$P$2:$P$207,A36)</f>
        <v>1</v>
      </c>
    </row>
    <row r="37" customFormat="false" ht="15" hidden="false" customHeight="false" outlineLevel="0" collapsed="false">
      <c r="A37" s="16" t="s">
        <v>329</v>
      </c>
      <c r="B37" s="16" t="s">
        <v>54</v>
      </c>
      <c r="C37" s="16" t="s">
        <v>73</v>
      </c>
      <c r="D37" s="17" t="n">
        <f aca="false">COUNTIF('Ngan hang cau hoi'!$P$2:$P$207,A37)</f>
        <v>1</v>
      </c>
    </row>
    <row r="38" customFormat="false" ht="15" hidden="false" customHeight="false" outlineLevel="0" collapsed="false">
      <c r="A38" s="14" t="s">
        <v>297</v>
      </c>
      <c r="B38" s="14" t="s">
        <v>54</v>
      </c>
      <c r="C38" s="14" t="s">
        <v>45</v>
      </c>
      <c r="D38" s="15" t="n">
        <f aca="false">COUNTIF('Ngan hang cau hoi'!$P$2:$P$207,A38)</f>
        <v>1</v>
      </c>
    </row>
    <row r="39" customFormat="false" ht="15" hidden="false" customHeight="false" outlineLevel="0" collapsed="false">
      <c r="A39" s="16" t="s">
        <v>248</v>
      </c>
      <c r="B39" s="16" t="s">
        <v>54</v>
      </c>
      <c r="C39" s="16" t="s">
        <v>73</v>
      </c>
      <c r="D39" s="17" t="n">
        <f aca="false">COUNTIF('Ngan hang cau hoi'!$P$2:$P$207,A39)</f>
        <v>1</v>
      </c>
    </row>
    <row r="40" customFormat="false" ht="15" hidden="false" customHeight="false" outlineLevel="0" collapsed="false">
      <c r="A40" s="14" t="s">
        <v>371</v>
      </c>
      <c r="B40" s="14" t="s">
        <v>54</v>
      </c>
      <c r="C40" s="14" t="s">
        <v>73</v>
      </c>
      <c r="D40" s="15" t="n">
        <f aca="false">COUNTIF('Ngan hang cau hoi'!$P$2:$P$207,A40)</f>
        <v>1</v>
      </c>
    </row>
    <row r="41" customFormat="false" ht="15" hidden="false" customHeight="false" outlineLevel="0" collapsed="false">
      <c r="A41" s="16" t="s">
        <v>55</v>
      </c>
      <c r="B41" s="16" t="s">
        <v>54</v>
      </c>
      <c r="C41" s="16" t="s">
        <v>45</v>
      </c>
      <c r="D41" s="17" t="n">
        <f aca="false">COUNTIF('Ngan hang cau hoi'!$P$2:$P$207,A41)</f>
        <v>1</v>
      </c>
    </row>
    <row r="42" customFormat="false" ht="15" hidden="false" customHeight="false" outlineLevel="0" collapsed="false">
      <c r="A42" s="14" t="s">
        <v>404</v>
      </c>
      <c r="B42" s="14" t="s">
        <v>64</v>
      </c>
      <c r="C42" s="14" t="s">
        <v>45</v>
      </c>
      <c r="D42" s="15" t="n">
        <f aca="false">COUNTIF('Ngan hang cau hoi'!$P$2:$P$207,A42)</f>
        <v>1</v>
      </c>
    </row>
    <row r="43" customFormat="false" ht="15" hidden="false" customHeight="false" outlineLevel="0" collapsed="false">
      <c r="A43" s="16" t="s">
        <v>460</v>
      </c>
      <c r="B43" s="16" t="s">
        <v>54</v>
      </c>
      <c r="C43" s="16" t="s">
        <v>45</v>
      </c>
      <c r="D43" s="17" t="n">
        <f aca="false">COUNTIF('Ngan hang cau hoi'!$P$2:$P$207,A43)</f>
        <v>1</v>
      </c>
    </row>
    <row r="44" customFormat="false" ht="15" hidden="false" customHeight="false" outlineLevel="0" collapsed="false">
      <c r="A44" s="14" t="s">
        <v>855</v>
      </c>
      <c r="B44" s="14" t="s">
        <v>44</v>
      </c>
      <c r="C44" s="14" t="s">
        <v>45</v>
      </c>
      <c r="D44" s="15" t="n">
        <f aca="false">COUNTIF('Ngan hang cau hoi'!$P$2:$P$207,A44)</f>
        <v>1</v>
      </c>
    </row>
    <row r="45" customFormat="false" ht="15" hidden="false" customHeight="false" outlineLevel="0" collapsed="false">
      <c r="A45" s="16" t="s">
        <v>46</v>
      </c>
      <c r="B45" s="16" t="s">
        <v>44</v>
      </c>
      <c r="C45" s="16" t="s">
        <v>45</v>
      </c>
      <c r="D45" s="17" t="n">
        <f aca="false">COUNTIF('Ngan hang cau hoi'!$P$2:$P$207,A45)</f>
        <v>1</v>
      </c>
    </row>
    <row r="46" customFormat="false" ht="15" hidden="false" customHeight="false" outlineLevel="0" collapsed="false">
      <c r="A46" s="14" t="s">
        <v>452</v>
      </c>
      <c r="B46" s="14" t="s">
        <v>54</v>
      </c>
      <c r="C46" s="14" t="s">
        <v>45</v>
      </c>
      <c r="D46" s="15" t="n">
        <f aca="false">COUNTIF('Ngan hang cau hoi'!$P$2:$P$207,A46)</f>
        <v>1</v>
      </c>
    </row>
    <row r="47" customFormat="false" ht="15" hidden="false" customHeight="false" outlineLevel="0" collapsed="false">
      <c r="A47" s="16" t="s">
        <v>794</v>
      </c>
      <c r="B47" s="16" t="s">
        <v>793</v>
      </c>
      <c r="C47" s="16" t="s">
        <v>45</v>
      </c>
      <c r="D47" s="17" t="n">
        <f aca="false">COUNTIF('Ngan hang cau hoi'!$P$2:$P$207,A47)</f>
        <v>1</v>
      </c>
    </row>
    <row r="48" customFormat="false" ht="15" hidden="false" customHeight="false" outlineLevel="0" collapsed="false">
      <c r="A48" s="14" t="s">
        <v>1448</v>
      </c>
      <c r="B48" s="14" t="s">
        <v>54</v>
      </c>
      <c r="C48" s="14" t="s">
        <v>45</v>
      </c>
      <c r="D48" s="15" t="n">
        <f aca="false">COUNTIF('Ngan hang cau hoi'!$P$2:$P$207,A48)</f>
        <v>1</v>
      </c>
    </row>
    <row r="49" customFormat="false" ht="15" hidden="false" customHeight="false" outlineLevel="0" collapsed="false">
      <c r="A49" s="16" t="s">
        <v>1683</v>
      </c>
      <c r="B49" s="16" t="s">
        <v>793</v>
      </c>
      <c r="C49" s="16" t="s">
        <v>45</v>
      </c>
      <c r="D49" s="17" t="n">
        <f aca="false">COUNTIF('Ngan hang cau hoi'!$P$2:$P$207,A49)</f>
        <v>1</v>
      </c>
    </row>
    <row r="50" customFormat="false" ht="15" hidden="false" customHeight="false" outlineLevel="0" collapsed="false">
      <c r="A50" s="14" t="s">
        <v>1183</v>
      </c>
      <c r="B50" s="14" t="s">
        <v>44</v>
      </c>
      <c r="C50" s="14" t="s">
        <v>45</v>
      </c>
      <c r="D50" s="15" t="n">
        <f aca="false">COUNTIF('Ngan hang cau hoi'!$P$2:$P$207,A50)</f>
        <v>1</v>
      </c>
    </row>
    <row r="51" customFormat="false" ht="15" hidden="false" customHeight="false" outlineLevel="0" collapsed="false">
      <c r="A51" s="16" t="s">
        <v>760</v>
      </c>
      <c r="B51" s="16" t="s">
        <v>64</v>
      </c>
      <c r="C51" s="16" t="s">
        <v>45</v>
      </c>
      <c r="D51" s="17" t="n">
        <f aca="false">COUNTIF('Ngan hang cau hoi'!$P$2:$P$207,A51)</f>
        <v>1</v>
      </c>
    </row>
    <row r="52" customFormat="false" ht="15" hidden="false" customHeight="false" outlineLevel="0" collapsed="false">
      <c r="A52" s="14" t="s">
        <v>948</v>
      </c>
      <c r="B52" s="14" t="s">
        <v>64</v>
      </c>
      <c r="C52" s="14" t="s">
        <v>73</v>
      </c>
      <c r="D52" s="15" t="n">
        <f aca="false">COUNTIF('Ngan hang cau hoi'!$P$2:$P$207,A52)</f>
        <v>1</v>
      </c>
    </row>
    <row r="53" customFormat="false" ht="15" hidden="false" customHeight="false" outlineLevel="0" collapsed="false">
      <c r="A53" s="16" t="s">
        <v>939</v>
      </c>
      <c r="B53" s="16" t="s">
        <v>64</v>
      </c>
      <c r="C53" s="16" t="s">
        <v>73</v>
      </c>
      <c r="D53" s="17" t="n">
        <f aca="false">COUNTIF('Ngan hang cau hoi'!$P$2:$P$207,A53)</f>
        <v>1</v>
      </c>
    </row>
    <row r="54" customFormat="false" ht="15" hidden="false" customHeight="false" outlineLevel="0" collapsed="false">
      <c r="A54" s="14" t="s">
        <v>1023</v>
      </c>
      <c r="B54" s="14" t="s">
        <v>64</v>
      </c>
      <c r="C54" s="14" t="s">
        <v>45</v>
      </c>
      <c r="D54" s="15" t="n">
        <f aca="false">COUNTIF('Ngan hang cau hoi'!$P$2:$P$207,A54)</f>
        <v>1</v>
      </c>
    </row>
    <row r="55" customFormat="false" ht="15" hidden="false" customHeight="false" outlineLevel="0" collapsed="false">
      <c r="A55" s="16" t="s">
        <v>922</v>
      </c>
      <c r="B55" s="16" t="s">
        <v>64</v>
      </c>
      <c r="C55" s="16" t="s">
        <v>73</v>
      </c>
      <c r="D55" s="17" t="n">
        <f aca="false">COUNTIF('Ngan hang cau hoi'!$P$2:$P$207,A55)</f>
        <v>1</v>
      </c>
    </row>
    <row r="56" customFormat="false" ht="15" hidden="false" customHeight="false" outlineLevel="0" collapsed="false">
      <c r="A56" s="14" t="s">
        <v>1032</v>
      </c>
      <c r="B56" s="14" t="s">
        <v>64</v>
      </c>
      <c r="C56" s="14" t="s">
        <v>45</v>
      </c>
      <c r="D56" s="15" t="n">
        <f aca="false">COUNTIF('Ngan hang cau hoi'!$P$2:$P$207,A56)</f>
        <v>1</v>
      </c>
    </row>
    <row r="57" customFormat="false" ht="15" hidden="false" customHeight="false" outlineLevel="0" collapsed="false">
      <c r="A57" s="16" t="s">
        <v>931</v>
      </c>
      <c r="B57" s="16" t="s">
        <v>64</v>
      </c>
      <c r="C57" s="16" t="s">
        <v>73</v>
      </c>
      <c r="D57" s="17" t="n">
        <f aca="false">COUNTIF('Ngan hang cau hoi'!$P$2:$P$207,A57)</f>
        <v>1</v>
      </c>
    </row>
    <row r="58" customFormat="false" ht="15" hidden="false" customHeight="false" outlineLevel="0" collapsed="false">
      <c r="A58" s="14" t="s">
        <v>1474</v>
      </c>
      <c r="B58" s="14" t="s">
        <v>54</v>
      </c>
      <c r="C58" s="14" t="s">
        <v>45</v>
      </c>
      <c r="D58" s="15" t="n">
        <f aca="false">COUNTIF('Ngan hang cau hoi'!$P$2:$P$207,A58)</f>
        <v>1</v>
      </c>
    </row>
    <row r="59" customFormat="false" ht="15" hidden="false" customHeight="false" outlineLevel="0" collapsed="false">
      <c r="A59" s="16" t="s">
        <v>1466</v>
      </c>
      <c r="B59" s="16" t="s">
        <v>54</v>
      </c>
      <c r="C59" s="16" t="s">
        <v>45</v>
      </c>
      <c r="D59" s="17" t="n">
        <f aca="false">COUNTIF('Ngan hang cau hoi'!$P$2:$P$207,A59)</f>
        <v>1</v>
      </c>
    </row>
    <row r="60" customFormat="false" ht="15" hidden="false" customHeight="false" outlineLevel="0" collapsed="false">
      <c r="A60" s="14" t="s">
        <v>289</v>
      </c>
      <c r="B60" s="14" t="s">
        <v>44</v>
      </c>
      <c r="C60" s="14" t="s">
        <v>45</v>
      </c>
      <c r="D60" s="15" t="n">
        <f aca="false">COUNTIF('Ngan hang cau hoi'!$P$2:$P$207,A60)</f>
        <v>1</v>
      </c>
    </row>
    <row r="61" customFormat="false" ht="15" hidden="false" customHeight="false" outlineLevel="0" collapsed="false">
      <c r="A61" s="16" t="s">
        <v>1233</v>
      </c>
      <c r="B61" s="16" t="s">
        <v>64</v>
      </c>
      <c r="C61" s="16" t="s">
        <v>73</v>
      </c>
      <c r="D61" s="17" t="n">
        <f aca="false">COUNTIF('Ngan hang cau hoi'!$P$2:$P$207,A61)</f>
        <v>1</v>
      </c>
    </row>
    <row r="62" customFormat="false" ht="15" hidden="false" customHeight="false" outlineLevel="0" collapsed="false">
      <c r="A62" s="14" t="s">
        <v>1175</v>
      </c>
      <c r="B62" s="14" t="s">
        <v>64</v>
      </c>
      <c r="C62" s="14" t="s">
        <v>73</v>
      </c>
      <c r="D62" s="15" t="n">
        <f aca="false">COUNTIF('Ngan hang cau hoi'!$P$2:$P$207,A62)</f>
        <v>1</v>
      </c>
    </row>
    <row r="63" customFormat="false" ht="15" hidden="false" customHeight="false" outlineLevel="0" collapsed="false">
      <c r="A63" s="16" t="s">
        <v>1659</v>
      </c>
      <c r="B63" s="16" t="s">
        <v>54</v>
      </c>
      <c r="C63" s="16" t="s">
        <v>45</v>
      </c>
      <c r="D63" s="17" t="n">
        <f aca="false">COUNTIF('Ngan hang cau hoi'!$P$2:$P$207,A63)</f>
        <v>1</v>
      </c>
    </row>
    <row r="64" customFormat="false" ht="15" hidden="false" customHeight="false" outlineLevel="0" collapsed="false">
      <c r="A64" s="14" t="s">
        <v>1040</v>
      </c>
      <c r="B64" s="14" t="s">
        <v>64</v>
      </c>
      <c r="C64" s="14" t="s">
        <v>73</v>
      </c>
      <c r="D64" s="15" t="n">
        <f aca="false">COUNTIF('Ngan hang cau hoi'!$P$2:$P$207,A64)</f>
        <v>1</v>
      </c>
    </row>
    <row r="65" customFormat="false" ht="15" hidden="false" customHeight="false" outlineLevel="0" collapsed="false">
      <c r="A65" s="16" t="s">
        <v>1651</v>
      </c>
      <c r="B65" s="16" t="s">
        <v>44</v>
      </c>
      <c r="C65" s="16" t="s">
        <v>45</v>
      </c>
      <c r="D65" s="17" t="n">
        <f aca="false">COUNTIF('Ngan hang cau hoi'!$P$2:$P$207,A65)</f>
        <v>1</v>
      </c>
    </row>
    <row r="66" customFormat="false" ht="15" hidden="false" customHeight="false" outlineLevel="0" collapsed="false">
      <c r="A66" s="14" t="s">
        <v>1142</v>
      </c>
      <c r="B66" s="14" t="s">
        <v>64</v>
      </c>
      <c r="C66" s="14" t="s">
        <v>73</v>
      </c>
      <c r="D66" s="15" t="n">
        <f aca="false">COUNTIF('Ngan hang cau hoi'!$P$2:$P$207,A66)</f>
        <v>1</v>
      </c>
    </row>
    <row r="67" customFormat="false" ht="15" hidden="false" customHeight="false" outlineLevel="0" collapsed="false">
      <c r="A67" s="16" t="s">
        <v>1277</v>
      </c>
      <c r="B67" s="16" t="s">
        <v>64</v>
      </c>
      <c r="C67" s="16" t="s">
        <v>73</v>
      </c>
      <c r="D67" s="17" t="n">
        <f aca="false">COUNTIF('Ngan hang cau hoi'!$P$2:$P$207,A67)</f>
        <v>1</v>
      </c>
    </row>
    <row r="68" customFormat="false" ht="15" hidden="false" customHeight="false" outlineLevel="0" collapsed="false">
      <c r="A68" s="14" t="s">
        <v>1628</v>
      </c>
      <c r="B68" s="14" t="s">
        <v>64</v>
      </c>
      <c r="C68" s="14" t="s">
        <v>73</v>
      </c>
      <c r="D68" s="15" t="n">
        <f aca="false">COUNTIF('Ngan hang cau hoi'!$P$2:$P$207,A68)</f>
        <v>1</v>
      </c>
    </row>
    <row r="69" customFormat="false" ht="15" hidden="false" customHeight="false" outlineLevel="0" collapsed="false">
      <c r="A69" s="16" t="s">
        <v>1199</v>
      </c>
      <c r="B69" s="16" t="s">
        <v>64</v>
      </c>
      <c r="C69" s="16" t="s">
        <v>73</v>
      </c>
      <c r="D69" s="17" t="n">
        <f aca="false">COUNTIF('Ngan hang cau hoi'!$P$2:$P$207,A69)</f>
        <v>1</v>
      </c>
    </row>
    <row r="70" customFormat="false" ht="15" hidden="false" customHeight="false" outlineLevel="0" collapsed="false">
      <c r="A70" s="14" t="s">
        <v>1723</v>
      </c>
      <c r="B70" s="14" t="s">
        <v>64</v>
      </c>
      <c r="C70" s="14" t="s">
        <v>73</v>
      </c>
      <c r="D70" s="15" t="n">
        <f aca="false">COUNTIF('Ngan hang cau hoi'!$P$2:$P$207,A70)</f>
        <v>1</v>
      </c>
    </row>
    <row r="71" customFormat="false" ht="15" hidden="false" customHeight="false" outlineLevel="0" collapsed="false">
      <c r="A71" s="16" t="s">
        <v>1259</v>
      </c>
      <c r="B71" s="16" t="s">
        <v>64</v>
      </c>
      <c r="C71" s="16" t="s">
        <v>73</v>
      </c>
      <c r="D71" s="17" t="n">
        <f aca="false">COUNTIF('Ngan hang cau hoi'!$P$2:$P$207,A71)</f>
        <v>1</v>
      </c>
    </row>
    <row r="72" customFormat="false" ht="15" hidden="false" customHeight="false" outlineLevel="0" collapsed="false">
      <c r="A72" s="14" t="s">
        <v>1754</v>
      </c>
      <c r="B72" s="14" t="s">
        <v>64</v>
      </c>
      <c r="C72" s="14" t="s">
        <v>73</v>
      </c>
      <c r="D72" s="15" t="n">
        <f aca="false">COUNTIF('Ngan hang cau hoi'!$P$2:$P$207,A72)</f>
        <v>1</v>
      </c>
    </row>
    <row r="73" customFormat="false" ht="15" hidden="false" customHeight="false" outlineLevel="0" collapsed="false">
      <c r="A73" s="16" t="s">
        <v>1192</v>
      </c>
      <c r="B73" s="16" t="s">
        <v>64</v>
      </c>
      <c r="C73" s="16" t="s">
        <v>73</v>
      </c>
      <c r="D73" s="17" t="n">
        <f aca="false">COUNTIF('Ngan hang cau hoi'!$P$2:$P$207,A73)</f>
        <v>1</v>
      </c>
    </row>
    <row r="74" customFormat="false" ht="15" hidden="false" customHeight="false" outlineLevel="0" collapsed="false">
      <c r="A74" s="14" t="s">
        <v>1707</v>
      </c>
      <c r="B74" s="14" t="s">
        <v>64</v>
      </c>
      <c r="C74" s="14" t="s">
        <v>73</v>
      </c>
      <c r="D74" s="15" t="n">
        <f aca="false">COUNTIF('Ngan hang cau hoi'!$P$2:$P$207,A74)</f>
        <v>1</v>
      </c>
    </row>
    <row r="75" customFormat="false" ht="15" hidden="false" customHeight="false" outlineLevel="0" collapsed="false">
      <c r="A75" s="16" t="s">
        <v>1250</v>
      </c>
      <c r="B75" s="16" t="s">
        <v>64</v>
      </c>
      <c r="C75" s="16" t="s">
        <v>73</v>
      </c>
      <c r="D75" s="17" t="n">
        <f aca="false">COUNTIF('Ngan hang cau hoi'!$P$2:$P$207,A75)</f>
        <v>1</v>
      </c>
    </row>
    <row r="76" customFormat="false" ht="15" hidden="false" customHeight="false" outlineLevel="0" collapsed="false">
      <c r="A76" s="14" t="s">
        <v>725</v>
      </c>
      <c r="B76" s="14" t="s">
        <v>64</v>
      </c>
      <c r="C76" s="14" t="s">
        <v>73</v>
      </c>
      <c r="D76" s="15" t="n">
        <f aca="false">COUNTIF('Ngan hang cau hoi'!$P$2:$P$207,A76)</f>
        <v>1</v>
      </c>
    </row>
    <row r="77" customFormat="false" ht="15" hidden="false" customHeight="false" outlineLevel="0" collapsed="false">
      <c r="A77" s="16" t="s">
        <v>1166</v>
      </c>
      <c r="B77" s="16" t="s">
        <v>64</v>
      </c>
      <c r="C77" s="16" t="s">
        <v>73</v>
      </c>
      <c r="D77" s="17" t="n">
        <f aca="false">COUNTIF('Ngan hang cau hoi'!$P$2:$P$207,A77)</f>
        <v>1</v>
      </c>
    </row>
    <row r="78" customFormat="false" ht="15" hidden="false" customHeight="false" outlineLevel="0" collapsed="false">
      <c r="A78" s="14" t="s">
        <v>1065</v>
      </c>
      <c r="B78" s="14" t="s">
        <v>64</v>
      </c>
      <c r="C78" s="14" t="s">
        <v>73</v>
      </c>
      <c r="D78" s="15" t="n">
        <f aca="false">COUNTIF('Ngan hang cau hoi'!$P$2:$P$207,A78)</f>
        <v>1</v>
      </c>
    </row>
    <row r="79" customFormat="false" ht="15" hidden="false" customHeight="false" outlineLevel="0" collapsed="false">
      <c r="A79" s="16" t="s">
        <v>1242</v>
      </c>
      <c r="B79" s="16" t="s">
        <v>64</v>
      </c>
      <c r="C79" s="16" t="s">
        <v>73</v>
      </c>
      <c r="D79" s="17" t="n">
        <f aca="false">COUNTIF('Ngan hang cau hoi'!$P$2:$P$207,A79)</f>
        <v>1</v>
      </c>
    </row>
    <row r="80" customFormat="false" ht="15" hidden="false" customHeight="false" outlineLevel="0" collapsed="false">
      <c r="A80" s="14" t="s">
        <v>1224</v>
      </c>
      <c r="B80" s="14" t="s">
        <v>64</v>
      </c>
      <c r="C80" s="14" t="s">
        <v>73</v>
      </c>
      <c r="D80" s="15" t="n">
        <f aca="false">COUNTIF('Ngan hang cau hoi'!$P$2:$P$207,A80)</f>
        <v>1</v>
      </c>
    </row>
    <row r="81" customFormat="false" ht="15" hidden="false" customHeight="false" outlineLevel="0" collapsed="false">
      <c r="A81" s="16" t="s">
        <v>1268</v>
      </c>
      <c r="B81" s="16" t="s">
        <v>64</v>
      </c>
      <c r="C81" s="16" t="s">
        <v>73</v>
      </c>
      <c r="D81" s="17" t="n">
        <f aca="false">COUNTIF('Ngan hang cau hoi'!$P$2:$P$207,A81)</f>
        <v>1</v>
      </c>
    </row>
    <row r="82" customFormat="false" ht="15" hidden="false" customHeight="false" outlineLevel="0" collapsed="false">
      <c r="A82" s="14" t="s">
        <v>716</v>
      </c>
      <c r="B82" s="14" t="s">
        <v>64</v>
      </c>
      <c r="C82" s="14" t="s">
        <v>73</v>
      </c>
      <c r="D82" s="15" t="n">
        <f aca="false">COUNTIF('Ngan hang cau hoi'!$P$2:$P$207,A82)</f>
        <v>1</v>
      </c>
    </row>
    <row r="83" customFormat="false" ht="15" hidden="false" customHeight="false" outlineLevel="0" collapsed="false">
      <c r="A83" s="16" t="s">
        <v>1285</v>
      </c>
      <c r="B83" s="16" t="s">
        <v>54</v>
      </c>
      <c r="C83" s="16" t="s">
        <v>45</v>
      </c>
      <c r="D83" s="17" t="n">
        <f aca="false">COUNTIF('Ngan hang cau hoi'!$P$2:$P$207,A83)</f>
        <v>1</v>
      </c>
    </row>
    <row r="84" customFormat="false" ht="15" hidden="false" customHeight="false" outlineLevel="0" collapsed="false">
      <c r="A84" s="14" t="s">
        <v>177</v>
      </c>
      <c r="B84" s="14" t="s">
        <v>64</v>
      </c>
      <c r="C84" s="14" t="s">
        <v>45</v>
      </c>
      <c r="D84" s="15" t="n">
        <f aca="false">COUNTIF('Ngan hang cau hoi'!$P$2:$P$207,A84)</f>
        <v>1</v>
      </c>
    </row>
    <row r="85" customFormat="false" ht="15" hidden="false" customHeight="false" outlineLevel="0" collapsed="false">
      <c r="A85" s="16" t="s">
        <v>469</v>
      </c>
      <c r="B85" s="16" t="s">
        <v>54</v>
      </c>
      <c r="C85" s="16" t="s">
        <v>45</v>
      </c>
      <c r="D85" s="17" t="n">
        <f aca="false">COUNTIF('Ngan hang cau hoi'!$P$2:$P$207,A85)</f>
        <v>1</v>
      </c>
    </row>
    <row r="86" customFormat="false" ht="15" hidden="false" customHeight="false" outlineLevel="0" collapsed="false">
      <c r="A86" s="14" t="s">
        <v>802</v>
      </c>
      <c r="B86" s="14" t="s">
        <v>54</v>
      </c>
      <c r="C86" s="14" t="s">
        <v>73</v>
      </c>
      <c r="D86" s="15" t="n">
        <f aca="false">COUNTIF('Ngan hang cau hoi'!$P$2:$P$207,A86)</f>
        <v>1</v>
      </c>
    </row>
    <row r="87" customFormat="false" ht="15" hidden="false" customHeight="false" outlineLevel="0" collapsed="false">
      <c r="A87" s="16" t="s">
        <v>1675</v>
      </c>
      <c r="B87" s="16" t="s">
        <v>54</v>
      </c>
      <c r="C87" s="16" t="s">
        <v>45</v>
      </c>
      <c r="D87" s="17" t="n">
        <f aca="false">COUNTIF('Ngan hang cau hoi'!$P$2:$P$207,A87)</f>
        <v>1</v>
      </c>
    </row>
    <row r="88" customFormat="false" ht="15" hidden="false" customHeight="false" outlineLevel="0" collapsed="false">
      <c r="A88" s="14" t="s">
        <v>1293</v>
      </c>
      <c r="B88" s="14" t="s">
        <v>54</v>
      </c>
      <c r="C88" s="14" t="s">
        <v>45</v>
      </c>
      <c r="D88" s="15" t="n">
        <f aca="false">COUNTIF('Ngan hang cau hoi'!$P$2:$P$207,A88)</f>
        <v>1</v>
      </c>
    </row>
    <row r="89" customFormat="false" ht="15" hidden="false" customHeight="false" outlineLevel="0" collapsed="false">
      <c r="A89" s="16" t="s">
        <v>1579</v>
      </c>
      <c r="B89" s="16" t="s">
        <v>64</v>
      </c>
      <c r="C89" s="16" t="s">
        <v>45</v>
      </c>
      <c r="D89" s="17" t="n">
        <f aca="false">COUNTIF('Ngan hang cau hoi'!$P$2:$P$207,A89)</f>
        <v>1</v>
      </c>
    </row>
    <row r="90" customFormat="false" ht="15" hidden="false" customHeight="false" outlineLevel="0" collapsed="false">
      <c r="A90" s="14" t="s">
        <v>612</v>
      </c>
      <c r="B90" s="14" t="s">
        <v>64</v>
      </c>
      <c r="C90" s="14" t="s">
        <v>45</v>
      </c>
      <c r="D90" s="15" t="n">
        <f aca="false">COUNTIF('Ngan hang cau hoi'!$P$2:$P$207,A90)</f>
        <v>1</v>
      </c>
    </row>
    <row r="91" customFormat="false" ht="15" hidden="false" customHeight="false" outlineLevel="0" collapsed="false">
      <c r="A91" s="16" t="s">
        <v>501</v>
      </c>
      <c r="B91" s="16" t="s">
        <v>54</v>
      </c>
      <c r="C91" s="16" t="s">
        <v>73</v>
      </c>
      <c r="D91" s="17" t="n">
        <f aca="false">COUNTIF('Ngan hang cau hoi'!$P$2:$P$207,A91)</f>
        <v>1</v>
      </c>
    </row>
    <row r="92" customFormat="false" ht="15" hidden="false" customHeight="false" outlineLevel="0" collapsed="false">
      <c r="A92" s="14" t="s">
        <v>603</v>
      </c>
      <c r="B92" s="14" t="s">
        <v>54</v>
      </c>
      <c r="C92" s="14" t="s">
        <v>45</v>
      </c>
      <c r="D92" s="15" t="n">
        <f aca="false">COUNTIF('Ngan hang cau hoi'!$P$2:$P$207,A92)</f>
        <v>1</v>
      </c>
    </row>
    <row r="93" customFormat="false" ht="15" hidden="false" customHeight="false" outlineLevel="0" collapsed="false">
      <c r="A93" s="16" t="s">
        <v>510</v>
      </c>
      <c r="B93" s="16" t="s">
        <v>54</v>
      </c>
      <c r="C93" s="16" t="s">
        <v>45</v>
      </c>
      <c r="D93" s="17" t="n">
        <f aca="false">COUNTIF('Ngan hang cau hoi'!$P$2:$P$207,A93)</f>
        <v>1</v>
      </c>
    </row>
    <row r="94" customFormat="false" ht="15" hidden="false" customHeight="false" outlineLevel="0" collapsed="false">
      <c r="A94" s="14" t="s">
        <v>115</v>
      </c>
      <c r="B94" s="14" t="s">
        <v>54</v>
      </c>
      <c r="C94" s="14" t="s">
        <v>73</v>
      </c>
      <c r="D94" s="15" t="n">
        <f aca="false">COUNTIF('Ngan hang cau hoi'!$P$2:$P$207,A94)</f>
        <v>1</v>
      </c>
    </row>
    <row r="95" customFormat="false" ht="15" hidden="false" customHeight="false" outlineLevel="0" collapsed="false">
      <c r="A95" s="16" t="s">
        <v>428</v>
      </c>
      <c r="B95" s="16" t="s">
        <v>54</v>
      </c>
      <c r="C95" s="16" t="s">
        <v>45</v>
      </c>
      <c r="D95" s="17" t="n">
        <f aca="false">COUNTIF('Ngan hang cau hoi'!$P$2:$P$207,A95)</f>
        <v>1</v>
      </c>
    </row>
    <row r="96" customFormat="false" ht="15" hidden="false" customHeight="false" outlineLevel="0" collapsed="false">
      <c r="A96" s="14" t="s">
        <v>559</v>
      </c>
      <c r="B96" s="14" t="s">
        <v>54</v>
      </c>
      <c r="C96" s="14" t="s">
        <v>45</v>
      </c>
      <c r="D96" s="15" t="n">
        <f aca="false">COUNTIF('Ngan hang cau hoi'!$P$2:$P$207,A96)</f>
        <v>1</v>
      </c>
    </row>
    <row r="97" customFormat="false" ht="15" hidden="false" customHeight="false" outlineLevel="0" collapsed="false">
      <c r="A97" s="16" t="s">
        <v>272</v>
      </c>
      <c r="B97" s="16" t="s">
        <v>64</v>
      </c>
      <c r="C97" s="16" t="s">
        <v>73</v>
      </c>
      <c r="D97" s="17" t="n">
        <f aca="false">COUNTIF('Ngan hang cau hoi'!$P$2:$P$207,A97)</f>
        <v>1</v>
      </c>
    </row>
    <row r="98" customFormat="false" ht="15" hidden="false" customHeight="false" outlineLevel="0" collapsed="false">
      <c r="A98" s="14" t="s">
        <v>477</v>
      </c>
      <c r="B98" s="14" t="s">
        <v>64</v>
      </c>
      <c r="C98" s="14" t="s">
        <v>73</v>
      </c>
      <c r="D98" s="15" t="n">
        <f aca="false">COUNTIF('Ngan hang cau hoi'!$P$2:$P$207,A98)</f>
        <v>0</v>
      </c>
    </row>
    <row r="99" customFormat="false" ht="15" hidden="false" customHeight="false" outlineLevel="0" collapsed="false">
      <c r="A99" s="16" t="s">
        <v>99</v>
      </c>
      <c r="B99" s="16" t="s">
        <v>54</v>
      </c>
      <c r="C99" s="16" t="s">
        <v>73</v>
      </c>
      <c r="D99" s="17" t="n">
        <f aca="false">COUNTIF('Ngan hang cau hoi'!$P$2:$P$207,A99)</f>
        <v>0</v>
      </c>
    </row>
    <row r="100" customFormat="false" ht="15" hidden="false" customHeight="false" outlineLevel="0" collapsed="false">
      <c r="A100" s="14" t="s">
        <v>1133</v>
      </c>
      <c r="B100" s="14" t="s">
        <v>54</v>
      </c>
      <c r="C100" s="14" t="s">
        <v>73</v>
      </c>
      <c r="D100" s="15" t="n">
        <f aca="false">COUNTIF('Ngan hang cau hoi'!$P$2:$P$207,A100)</f>
        <v>1</v>
      </c>
    </row>
    <row r="101" customFormat="false" ht="15" hidden="false" customHeight="false" outlineLevel="0" collapsed="false">
      <c r="A101" s="16" t="s">
        <v>751</v>
      </c>
      <c r="B101" s="16" t="s">
        <v>44</v>
      </c>
      <c r="C101" s="16" t="s">
        <v>73</v>
      </c>
      <c r="D101" s="17" t="n">
        <f aca="false">COUNTIF('Ngan hang cau hoi'!$P$2:$P$207,A101)</f>
        <v>1</v>
      </c>
    </row>
    <row r="102" customFormat="false" ht="15" hidden="false" customHeight="false" outlineLevel="0" collapsed="false">
      <c r="A102" s="14" t="s">
        <v>647</v>
      </c>
      <c r="B102" s="14" t="s">
        <v>64</v>
      </c>
      <c r="C102" s="14" t="s">
        <v>73</v>
      </c>
      <c r="D102" s="15" t="n">
        <f aca="false">COUNTIF('Ngan hang cau hoi'!$P$2:$P$207,A102)</f>
        <v>1</v>
      </c>
    </row>
    <row r="103" customFormat="false" ht="15" hidden="false" customHeight="false" outlineLevel="0" collapsed="false">
      <c r="A103" s="16" t="s">
        <v>698</v>
      </c>
      <c r="B103" s="16" t="s">
        <v>64</v>
      </c>
      <c r="C103" s="16" t="s">
        <v>73</v>
      </c>
      <c r="D103" s="17" t="n">
        <f aca="false">COUNTIF('Ngan hang cau hoi'!$P$2:$P$207,A103)</f>
        <v>1</v>
      </c>
    </row>
    <row r="104" customFormat="false" ht="15" hidden="false" customHeight="false" outlineLevel="0" collapsed="false">
      <c r="A104" s="14" t="s">
        <v>305</v>
      </c>
      <c r="B104" s="14" t="s">
        <v>54</v>
      </c>
      <c r="C104" s="14" t="s">
        <v>73</v>
      </c>
      <c r="D104" s="15" t="n">
        <f aca="false">COUNTIF('Ngan hang cau hoi'!$P$2:$P$207,A104)</f>
        <v>1</v>
      </c>
    </row>
    <row r="105" customFormat="false" ht="15" hidden="false" customHeight="false" outlineLevel="0" collapsed="false">
      <c r="A105" s="16" t="s">
        <v>681</v>
      </c>
      <c r="B105" s="16" t="s">
        <v>54</v>
      </c>
      <c r="C105" s="16" t="s">
        <v>73</v>
      </c>
      <c r="D105" s="17" t="n">
        <f aca="false">COUNTIF('Ngan hang cau hoi'!$P$2:$P$207,A105)</f>
        <v>1</v>
      </c>
    </row>
    <row r="106" customFormat="false" ht="15" hidden="false" customHeight="false" outlineLevel="0" collapsed="false">
      <c r="A106" s="14" t="s">
        <v>889</v>
      </c>
      <c r="B106" s="14" t="s">
        <v>64</v>
      </c>
      <c r="C106" s="14" t="s">
        <v>73</v>
      </c>
      <c r="D106" s="15" t="n">
        <f aca="false">COUNTIF('Ngan hang cau hoi'!$P$2:$P$207,A106)</f>
        <v>1</v>
      </c>
    </row>
    <row r="107" customFormat="false" ht="15" hidden="false" customHeight="false" outlineLevel="0" collapsed="false">
      <c r="A107" s="16" t="s">
        <v>768</v>
      </c>
      <c r="B107" s="16" t="s">
        <v>64</v>
      </c>
      <c r="C107" s="16" t="s">
        <v>73</v>
      </c>
      <c r="D107" s="17" t="n">
        <f aca="false">COUNTIF('Ngan hang cau hoi'!$P$2:$P$207,A107)</f>
        <v>1</v>
      </c>
    </row>
    <row r="108" customFormat="false" ht="15" hidden="false" customHeight="false" outlineLevel="0" collapsed="false">
      <c r="A108" s="14" t="s">
        <v>639</v>
      </c>
      <c r="B108" s="14" t="s">
        <v>54</v>
      </c>
      <c r="C108" s="14" t="s">
        <v>73</v>
      </c>
      <c r="D108" s="15" t="n">
        <f aca="false">COUNTIF('Ngan hang cau hoi'!$P$2:$P$207,A108)</f>
        <v>1</v>
      </c>
    </row>
    <row r="109" customFormat="false" ht="15" hidden="false" customHeight="false" outlineLevel="0" collapsed="false">
      <c r="A109" s="16" t="s">
        <v>362</v>
      </c>
      <c r="B109" s="16" t="s">
        <v>54</v>
      </c>
      <c r="C109" s="16" t="s">
        <v>45</v>
      </c>
      <c r="D109" s="17" t="n">
        <f aca="false">COUNTIF('Ngan hang cau hoi'!$P$2:$P$207,A109)</f>
        <v>1</v>
      </c>
    </row>
    <row r="110" customFormat="false" ht="15" hidden="false" customHeight="false" outlineLevel="0" collapsed="false">
      <c r="A110" s="14" t="s">
        <v>106</v>
      </c>
      <c r="B110" s="14" t="s">
        <v>64</v>
      </c>
      <c r="C110" s="14" t="s">
        <v>45</v>
      </c>
      <c r="D110" s="15" t="n">
        <f aca="false">COUNTIF('Ngan hang cau hoi'!$P$2:$P$207,A110)</f>
        <v>1</v>
      </c>
    </row>
    <row r="111" customFormat="false" ht="15" hidden="false" customHeight="false" outlineLevel="0" collapsed="false">
      <c r="A111" s="16" t="s">
        <v>82</v>
      </c>
      <c r="B111" s="16" t="s">
        <v>64</v>
      </c>
      <c r="C111" s="16" t="s">
        <v>45</v>
      </c>
      <c r="D111" s="17" t="n">
        <f aca="false">COUNTIF('Ngan hang cau hoi'!$P$2:$P$207,A111)</f>
        <v>1</v>
      </c>
    </row>
    <row r="112" customFormat="false" ht="15" hidden="false" customHeight="false" outlineLevel="0" collapsed="false">
      <c r="A112" s="14" t="s">
        <v>151</v>
      </c>
      <c r="B112" s="14" t="s">
        <v>64</v>
      </c>
      <c r="C112" s="14" t="s">
        <v>45</v>
      </c>
      <c r="D112" s="15" t="n">
        <f aca="false">COUNTIF('Ngan hang cau hoi'!$P$2:$P$207,A112)</f>
        <v>1</v>
      </c>
    </row>
    <row r="113" customFormat="false" ht="15" hidden="false" customHeight="false" outlineLevel="0" collapsed="false">
      <c r="A113" s="16" t="s">
        <v>1125</v>
      </c>
      <c r="B113" s="16" t="s">
        <v>54</v>
      </c>
      <c r="C113" s="16" t="s">
        <v>73</v>
      </c>
      <c r="D113" s="17" t="n">
        <f aca="false">COUNTIF('Ngan hang cau hoi'!$P$2:$P$207,A113)</f>
        <v>1</v>
      </c>
    </row>
    <row r="114" customFormat="false" ht="15" hidden="false" customHeight="false" outlineLevel="0" collapsed="false">
      <c r="A114" s="14" t="s">
        <v>1498</v>
      </c>
      <c r="B114" s="14" t="s">
        <v>64</v>
      </c>
      <c r="C114" s="14" t="s">
        <v>45</v>
      </c>
      <c r="D114" s="15" t="n">
        <f aca="false">COUNTIF('Ngan hang cau hoi'!$P$2:$P$207,A114)</f>
        <v>1</v>
      </c>
    </row>
    <row r="115" customFormat="false" ht="15" hidden="false" customHeight="false" outlineLevel="0" collapsed="false">
      <c r="A115" s="16" t="s">
        <v>586</v>
      </c>
      <c r="B115" s="16" t="s">
        <v>54</v>
      </c>
      <c r="C115" s="16" t="s">
        <v>45</v>
      </c>
      <c r="D115" s="17" t="n">
        <f aca="false">COUNTIF('Ngan hang cau hoi'!$P$2:$P$207,A115)</f>
        <v>1</v>
      </c>
    </row>
    <row r="116" customFormat="false" ht="15" hidden="false" customHeight="false" outlineLevel="0" collapsed="false">
      <c r="A116" s="14" t="s">
        <v>577</v>
      </c>
      <c r="B116" s="14" t="s">
        <v>64</v>
      </c>
      <c r="C116" s="14" t="s">
        <v>45</v>
      </c>
      <c r="D116" s="15" t="n">
        <f aca="false">COUNTIF('Ngan hang cau hoi'!$P$2:$P$207,A116)</f>
        <v>1</v>
      </c>
    </row>
    <row r="117" customFormat="false" ht="15" hidden="false" customHeight="false" outlineLevel="0" collapsed="false">
      <c r="A117" s="16" t="s">
        <v>568</v>
      </c>
      <c r="B117" s="16" t="s">
        <v>54</v>
      </c>
      <c r="C117" s="16" t="s">
        <v>45</v>
      </c>
      <c r="D117" s="17" t="n">
        <f aca="false">COUNTIF('Ngan hang cau hoi'!$P$2:$P$207,A117)</f>
        <v>1</v>
      </c>
    </row>
    <row r="118" customFormat="false" ht="15" hidden="false" customHeight="false" outlineLevel="0" collapsed="false">
      <c r="A118" s="14" t="s">
        <v>1692</v>
      </c>
      <c r="B118" s="14" t="s">
        <v>793</v>
      </c>
      <c r="C118" s="14" t="s">
        <v>45</v>
      </c>
      <c r="D118" s="15" t="n">
        <f aca="false">COUNTIF('Ngan hang cau hoi'!$P$2:$P$207,A118)</f>
        <v>1</v>
      </c>
    </row>
    <row r="119" customFormat="false" ht="15" hidden="false" customHeight="false" outlineLevel="0" collapsed="false">
      <c r="A119" s="16" t="s">
        <v>230</v>
      </c>
      <c r="B119" s="16" t="s">
        <v>44</v>
      </c>
      <c r="C119" s="16" t="s">
        <v>45</v>
      </c>
      <c r="D119" s="17" t="n">
        <f aca="false">COUNTIF('Ngan hang cau hoi'!$P$2:$P$207,A119)</f>
        <v>1</v>
      </c>
    </row>
    <row r="120" customFormat="false" ht="15" hidden="false" customHeight="false" outlineLevel="0" collapsed="false">
      <c r="A120" s="14" t="s">
        <v>1636</v>
      </c>
      <c r="B120" s="14" t="s">
        <v>54</v>
      </c>
      <c r="C120" s="14" t="s">
        <v>45</v>
      </c>
      <c r="D120" s="15" t="n">
        <f aca="false">COUNTIF('Ngan hang cau hoi'!$P$2:$P$207,A120)</f>
        <v>1</v>
      </c>
    </row>
    <row r="121" customFormat="false" ht="15" hidden="false" customHeight="false" outlineLevel="0" collapsed="false">
      <c r="A121" s="16" t="s">
        <v>1458</v>
      </c>
      <c r="B121" s="16" t="s">
        <v>793</v>
      </c>
      <c r="C121" s="16" t="s">
        <v>45</v>
      </c>
      <c r="D121" s="17" t="n">
        <f aca="false">COUNTIF('Ngan hang cau hoi'!$P$2:$P$207,A121)</f>
        <v>1</v>
      </c>
    </row>
    <row r="122" customFormat="false" ht="15" hidden="false" customHeight="false" outlineLevel="0" collapsed="false">
      <c r="A122" s="14" t="s">
        <v>1714</v>
      </c>
      <c r="B122" s="14" t="s">
        <v>54</v>
      </c>
      <c r="C122" s="14" t="s">
        <v>45</v>
      </c>
      <c r="D122" s="15" t="n">
        <f aca="false">COUNTIF('Ngan hang cau hoi'!$P$2:$P$207,A122)</f>
        <v>1</v>
      </c>
    </row>
    <row r="123" customFormat="false" ht="15" hidden="false" customHeight="false" outlineLevel="0" collapsed="false">
      <c r="A123" s="16" t="s">
        <v>1515</v>
      </c>
      <c r="B123" s="16" t="s">
        <v>793</v>
      </c>
      <c r="C123" s="16" t="s">
        <v>45</v>
      </c>
      <c r="D123" s="17" t="n">
        <f aca="false">COUNTIF('Ngan hang cau hoi'!$P$2:$P$207,A123)</f>
        <v>1</v>
      </c>
    </row>
    <row r="124" customFormat="false" ht="15" hidden="false" customHeight="false" outlineLevel="0" collapsed="false">
      <c r="A124" s="14" t="s">
        <v>974</v>
      </c>
      <c r="B124" s="14" t="s">
        <v>54</v>
      </c>
      <c r="C124" s="14" t="s">
        <v>45</v>
      </c>
      <c r="D124" s="15" t="n">
        <f aca="false">COUNTIF('Ngan hang cau hoi'!$P$2:$P$207,A124)</f>
        <v>1</v>
      </c>
    </row>
    <row r="125" customFormat="false" ht="15" hidden="false" customHeight="false" outlineLevel="0" collapsed="false">
      <c r="A125" s="16" t="s">
        <v>1107</v>
      </c>
      <c r="B125" s="16" t="s">
        <v>54</v>
      </c>
      <c r="C125" s="16" t="s">
        <v>45</v>
      </c>
      <c r="D125" s="17" t="n">
        <f aca="false">COUNTIF('Ngan hang cau hoi'!$P$2:$P$207,A125)</f>
        <v>1</v>
      </c>
    </row>
    <row r="126" customFormat="false" ht="15" hidden="false" customHeight="false" outlineLevel="0" collapsed="false">
      <c r="A126" s="14" t="s">
        <v>742</v>
      </c>
      <c r="B126" s="14" t="s">
        <v>44</v>
      </c>
      <c r="C126" s="14" t="s">
        <v>45</v>
      </c>
      <c r="D126" s="15" t="n">
        <f aca="false">COUNTIF('Ngan hang cau hoi'!$P$2:$P$207,A126)</f>
        <v>1</v>
      </c>
    </row>
    <row r="127" customFormat="false" ht="15" hidden="false" customHeight="false" outlineLevel="0" collapsed="false">
      <c r="A127" s="16" t="s">
        <v>1074</v>
      </c>
      <c r="B127" s="16" t="s">
        <v>54</v>
      </c>
      <c r="C127" s="16" t="s">
        <v>45</v>
      </c>
      <c r="D127" s="17" t="n">
        <f aca="false">COUNTIF('Ngan hang cau hoi'!$P$2:$P$207,A127)</f>
        <v>1</v>
      </c>
    </row>
    <row r="128" customFormat="false" ht="15" hidden="false" customHeight="false" outlineLevel="0" collapsed="false">
      <c r="A128" s="14" t="s">
        <v>1319</v>
      </c>
      <c r="B128" s="14" t="s">
        <v>44</v>
      </c>
      <c r="C128" s="14" t="s">
        <v>45</v>
      </c>
      <c r="D128" s="15" t="n">
        <f aca="false">COUNTIF('Ngan hang cau hoi'!$P$2:$P$207,A128)</f>
        <v>1</v>
      </c>
    </row>
    <row r="129" customFormat="false" ht="15" hidden="false" customHeight="false" outlineLevel="0" collapsed="false">
      <c r="A129" s="16" t="s">
        <v>1562</v>
      </c>
      <c r="B129" s="16" t="s">
        <v>44</v>
      </c>
      <c r="C129" s="16" t="s">
        <v>45</v>
      </c>
      <c r="D129" s="17" t="n">
        <f aca="false">COUNTIF('Ngan hang cau hoi'!$P$2:$P$207,A129)</f>
        <v>1</v>
      </c>
    </row>
    <row r="130" customFormat="false" ht="15" hidden="false" customHeight="false" outlineLevel="0" collapsed="false">
      <c r="A130" s="14" t="s">
        <v>863</v>
      </c>
      <c r="B130" s="14" t="s">
        <v>54</v>
      </c>
      <c r="C130" s="14" t="s">
        <v>45</v>
      </c>
      <c r="D130" s="15" t="n">
        <f aca="false">COUNTIF('Ngan hang cau hoi'!$P$2:$P$207,A130)</f>
        <v>1</v>
      </c>
    </row>
    <row r="131" customFormat="false" ht="15" hidden="false" customHeight="false" outlineLevel="0" collapsed="false">
      <c r="A131" s="16" t="s">
        <v>1434</v>
      </c>
      <c r="B131" s="16" t="s">
        <v>54</v>
      </c>
      <c r="C131" s="16" t="s">
        <v>45</v>
      </c>
      <c r="D131" s="17" t="n">
        <f aca="false">COUNTIF('Ngan hang cau hoi'!$P$2:$P$207,A131)</f>
        <v>1</v>
      </c>
    </row>
    <row r="132" customFormat="false" ht="15" hidden="false" customHeight="false" outlineLevel="0" collapsed="false">
      <c r="A132" s="14" t="s">
        <v>829</v>
      </c>
      <c r="B132" s="14" t="s">
        <v>64</v>
      </c>
      <c r="C132" s="14" t="s">
        <v>45</v>
      </c>
      <c r="D132" s="15" t="n">
        <f aca="false">COUNTIF('Ngan hang cau hoi'!$P$2:$P$207,A132)</f>
        <v>1</v>
      </c>
    </row>
    <row r="133" customFormat="false" ht="15" hidden="false" customHeight="false" outlineLevel="0" collapsed="false">
      <c r="A133" s="16" t="s">
        <v>1643</v>
      </c>
      <c r="B133" s="16" t="s">
        <v>44</v>
      </c>
      <c r="C133" s="16" t="s">
        <v>45</v>
      </c>
      <c r="D133" s="17" t="n">
        <f aca="false">COUNTIF('Ngan hang cau hoi'!$P$2:$P$207,A133)</f>
        <v>1</v>
      </c>
    </row>
    <row r="134" customFormat="false" ht="15" hidden="false" customHeight="false" outlineLevel="0" collapsed="false">
      <c r="A134" s="14" t="s">
        <v>221</v>
      </c>
      <c r="B134" s="14" t="s">
        <v>54</v>
      </c>
      <c r="C134" s="14" t="s">
        <v>45</v>
      </c>
      <c r="D134" s="15" t="n">
        <f aca="false">COUNTIF('Ngan hang cau hoi'!$P$2:$P$207,A134)</f>
        <v>1</v>
      </c>
    </row>
    <row r="135" customFormat="false" ht="15" hidden="false" customHeight="false" outlineLevel="0" collapsed="false">
      <c r="A135" s="16" t="s">
        <v>1588</v>
      </c>
      <c r="B135" s="16" t="s">
        <v>793</v>
      </c>
      <c r="C135" s="16" t="s">
        <v>45</v>
      </c>
      <c r="D135" s="17" t="n">
        <f aca="false">COUNTIF('Ngan hang cau hoi'!$P$2:$P$207,A135)</f>
        <v>1</v>
      </c>
    </row>
    <row r="136" customFormat="false" ht="15" hidden="false" customHeight="false" outlineLevel="0" collapsed="false">
      <c r="A136" s="14" t="s">
        <v>595</v>
      </c>
      <c r="B136" s="14" t="s">
        <v>44</v>
      </c>
      <c r="C136" s="14" t="s">
        <v>45</v>
      </c>
      <c r="D136" s="15" t="n">
        <f aca="false">COUNTIF('Ngan hang cau hoi'!$P$2:$P$207,A136)</f>
        <v>1</v>
      </c>
    </row>
    <row r="137" customFormat="false" ht="15" hidden="false" customHeight="false" outlineLevel="0" collapsed="false">
      <c r="A137" s="16" t="s">
        <v>91</v>
      </c>
      <c r="B137" s="16" t="s">
        <v>54</v>
      </c>
      <c r="C137" s="16" t="s">
        <v>45</v>
      </c>
      <c r="D137" s="17" t="n">
        <f aca="false">COUNTIF('Ngan hang cau hoi'!$P$2:$P$207,A137)</f>
        <v>1</v>
      </c>
    </row>
    <row r="138" customFormat="false" ht="15" hidden="false" customHeight="false" outlineLevel="0" collapsed="false">
      <c r="A138" s="14" t="s">
        <v>1666</v>
      </c>
      <c r="B138" s="14" t="s">
        <v>793</v>
      </c>
      <c r="C138" s="14" t="s">
        <v>45</v>
      </c>
      <c r="D138" s="15" t="n">
        <f aca="false">COUNTIF('Ngan hang cau hoi'!$P$2:$P$207,A138)</f>
        <v>1</v>
      </c>
    </row>
    <row r="139" customFormat="false" ht="15" hidden="false" customHeight="false" outlineLevel="0" collapsed="false">
      <c r="A139" s="16" t="s">
        <v>1554</v>
      </c>
      <c r="B139" s="16" t="s">
        <v>793</v>
      </c>
      <c r="C139" s="16" t="s">
        <v>45</v>
      </c>
      <c r="D139" s="17" t="n">
        <f aca="false">COUNTIF('Ngan hang cau hoi'!$P$2:$P$207,A139)</f>
        <v>1</v>
      </c>
    </row>
    <row r="140" customFormat="false" ht="15" hidden="false" customHeight="false" outlineLevel="0" collapsed="false">
      <c r="A140" s="14" t="s">
        <v>1507</v>
      </c>
      <c r="B140" s="14" t="s">
        <v>793</v>
      </c>
      <c r="C140" s="14" t="s">
        <v>45</v>
      </c>
      <c r="D140" s="15" t="n">
        <f aca="false">COUNTIF('Ngan hang cau hoi'!$P$2:$P$207,A140)</f>
        <v>1</v>
      </c>
    </row>
    <row r="141" customFormat="false" ht="15" hidden="false" customHeight="false" outlineLevel="0" collapsed="false">
      <c r="A141" s="16" t="s">
        <v>396</v>
      </c>
      <c r="B141" s="16" t="s">
        <v>64</v>
      </c>
      <c r="C141" s="16" t="s">
        <v>45</v>
      </c>
      <c r="D141" s="17" t="n">
        <f aca="false">COUNTIF('Ngan hang cau hoi'!$P$2:$P$207,A141)</f>
        <v>1</v>
      </c>
    </row>
    <row r="142" customFormat="false" ht="15" hidden="false" customHeight="false" outlineLevel="0" collapsed="false">
      <c r="A142" s="14" t="s">
        <v>518</v>
      </c>
      <c r="B142" s="14" t="s">
        <v>54</v>
      </c>
      <c r="C142" s="14" t="s">
        <v>73</v>
      </c>
      <c r="D142" s="15" t="n">
        <f aca="false">COUNTIF('Ngan hang cau hoi'!$P$2:$P$207,A142)</f>
        <v>1</v>
      </c>
    </row>
    <row r="143" customFormat="false" ht="15" hidden="false" customHeight="false" outlineLevel="0" collapsed="false">
      <c r="A143" s="16" t="s">
        <v>280</v>
      </c>
      <c r="B143" s="16" t="s">
        <v>54</v>
      </c>
      <c r="C143" s="16" t="s">
        <v>45</v>
      </c>
      <c r="D143" s="17" t="n">
        <f aca="false">COUNTIF('Ngan hang cau hoi'!$P$2:$P$207,A143)</f>
        <v>1</v>
      </c>
    </row>
    <row r="144" customFormat="false" ht="15" hidden="false" customHeight="false" outlineLevel="0" collapsed="false">
      <c r="A144" s="14" t="s">
        <v>1150</v>
      </c>
      <c r="B144" s="14" t="s">
        <v>54</v>
      </c>
      <c r="C144" s="14" t="s">
        <v>73</v>
      </c>
      <c r="D144" s="15" t="n">
        <f aca="false">COUNTIF('Ngan hang cau hoi'!$P$2:$P$207,A144)</f>
        <v>1</v>
      </c>
    </row>
    <row r="145" customFormat="false" ht="15" hidden="false" customHeight="false" outlineLevel="0" collapsed="false">
      <c r="A145" s="16" t="s">
        <v>631</v>
      </c>
      <c r="B145" s="16" t="s">
        <v>54</v>
      </c>
      <c r="C145" s="16" t="s">
        <v>73</v>
      </c>
      <c r="D145" s="17" t="n">
        <f aca="false">COUNTIF('Ngan hang cau hoi'!$P$2:$P$207,A145)</f>
        <v>1</v>
      </c>
    </row>
    <row r="146" customFormat="false" ht="15" hidden="false" customHeight="false" outlineLevel="0" collapsed="false">
      <c r="A146" s="14" t="s">
        <v>913</v>
      </c>
      <c r="B146" s="14" t="s">
        <v>54</v>
      </c>
      <c r="C146" s="14" t="s">
        <v>73</v>
      </c>
      <c r="D146" s="15" t="n">
        <f aca="false">COUNTIF('Ngan hang cau hoi'!$P$2:$P$207,A146)</f>
        <v>1</v>
      </c>
    </row>
    <row r="147" customFormat="false" ht="15" hidden="false" customHeight="false" outlineLevel="0" collapsed="false">
      <c r="A147" s="16" t="s">
        <v>1426</v>
      </c>
      <c r="B147" s="16" t="s">
        <v>64</v>
      </c>
      <c r="C147" s="16" t="s">
        <v>45</v>
      </c>
      <c r="D147" s="17" t="n">
        <f aca="false">COUNTIF('Ngan hang cau hoi'!$P$2:$P$207,A147)</f>
        <v>1</v>
      </c>
    </row>
    <row r="148" customFormat="false" ht="15" hidden="false" customHeight="false" outlineLevel="0" collapsed="false">
      <c r="A148" s="14" t="s">
        <v>847</v>
      </c>
      <c r="B148" s="14" t="s">
        <v>64</v>
      </c>
      <c r="C148" s="14" t="s">
        <v>73</v>
      </c>
      <c r="D148" s="15" t="n">
        <f aca="false">COUNTIF('Ngan hang cau hoi'!$P$2:$P$207,A148)</f>
        <v>1</v>
      </c>
    </row>
    <row r="149" customFormat="false" ht="15" hidden="false" customHeight="false" outlineLevel="0" collapsed="false">
      <c r="A149" s="16" t="s">
        <v>707</v>
      </c>
      <c r="B149" s="16" t="s">
        <v>54</v>
      </c>
      <c r="C149" s="16" t="s">
        <v>73</v>
      </c>
      <c r="D149" s="17" t="n">
        <f aca="false">COUNTIF('Ngan hang cau hoi'!$P$2:$P$207,A149)</f>
        <v>1</v>
      </c>
    </row>
    <row r="150" customFormat="false" ht="15" hidden="false" customHeight="false" outlineLevel="0" collapsed="false">
      <c r="A150" s="14" t="s">
        <v>838</v>
      </c>
      <c r="B150" s="14" t="s">
        <v>793</v>
      </c>
      <c r="C150" s="14" t="s">
        <v>45</v>
      </c>
      <c r="D150" s="15" t="n">
        <f aca="false">COUNTIF('Ngan hang cau hoi'!$P$2:$P$207,A150)</f>
        <v>1</v>
      </c>
    </row>
    <row r="151" customFormat="false" ht="15" hidden="false" customHeight="false" outlineLevel="0" collapsed="false">
      <c r="A151" s="16" t="s">
        <v>1545</v>
      </c>
      <c r="B151" s="16" t="s">
        <v>793</v>
      </c>
      <c r="C151" s="16" t="s">
        <v>45</v>
      </c>
      <c r="D151" s="17" t="n">
        <f aca="false">COUNTIF('Ngan hang cau hoi'!$P$2:$P$207,A151)</f>
        <v>1</v>
      </c>
    </row>
    <row r="152" customFormat="false" ht="15" hidden="false" customHeight="false" outlineLevel="0" collapsed="false">
      <c r="A152" s="14" t="s">
        <v>897</v>
      </c>
      <c r="B152" s="14" t="s">
        <v>44</v>
      </c>
      <c r="C152" s="14" t="s">
        <v>73</v>
      </c>
      <c r="D152" s="15" t="n">
        <f aca="false">COUNTIF('Ngan hang cau hoi'!$P$2:$P$207,A152)</f>
        <v>1</v>
      </c>
    </row>
    <row r="153" customFormat="false" ht="15" hidden="false" customHeight="false" outlineLevel="0" collapsed="false">
      <c r="A153" s="16" t="s">
        <v>169</v>
      </c>
      <c r="B153" s="16" t="s">
        <v>54</v>
      </c>
      <c r="C153" s="16" t="s">
        <v>73</v>
      </c>
      <c r="D153" s="17" t="n">
        <f aca="false">COUNTIF('Ngan hang cau hoi'!$P$2:$P$207,A153)</f>
        <v>1</v>
      </c>
    </row>
    <row r="154" customFormat="false" ht="15" hidden="false" customHeight="false" outlineLevel="0" collapsed="false">
      <c r="A154" s="14" t="s">
        <v>1082</v>
      </c>
      <c r="B154" s="14" t="s">
        <v>64</v>
      </c>
      <c r="C154" s="14" t="s">
        <v>73</v>
      </c>
      <c r="D154" s="15" t="n">
        <f aca="false">COUNTIF('Ngan hang cau hoi'!$P$2:$P$207,A154)</f>
        <v>1</v>
      </c>
    </row>
    <row r="155" customFormat="false" ht="15" hidden="false" customHeight="false" outlineLevel="0" collapsed="false">
      <c r="A155" s="16" t="s">
        <v>1402</v>
      </c>
      <c r="B155" s="16" t="s">
        <v>64</v>
      </c>
      <c r="C155" s="16" t="s">
        <v>45</v>
      </c>
      <c r="D155" s="17" t="n">
        <f aca="false">COUNTIF('Ngan hang cau hoi'!$P$2:$P$207,A155)</f>
        <v>1</v>
      </c>
    </row>
    <row r="156" customFormat="false" ht="15" hidden="false" customHeight="false" outlineLevel="0" collapsed="false">
      <c r="A156" s="14" t="s">
        <v>74</v>
      </c>
      <c r="B156" s="14" t="s">
        <v>54</v>
      </c>
      <c r="C156" s="14" t="s">
        <v>73</v>
      </c>
      <c r="D156" s="15" t="n">
        <f aca="false">COUNTIF('Ngan hang cau hoi'!$P$2:$P$207,A156)</f>
        <v>1</v>
      </c>
    </row>
    <row r="157" customFormat="false" ht="15" hidden="false" customHeight="false" outlineLevel="0" collapsed="false">
      <c r="A157" s="16" t="s">
        <v>203</v>
      </c>
      <c r="B157" s="16" t="s">
        <v>54</v>
      </c>
      <c r="C157" s="16" t="s">
        <v>73</v>
      </c>
      <c r="D157" s="17" t="n">
        <f aca="false">COUNTIF('Ngan hang cau hoi'!$P$2:$P$207,A157)</f>
        <v>1</v>
      </c>
    </row>
    <row r="158" customFormat="false" ht="15" hidden="false" customHeight="false" outlineLevel="0" collapsed="false">
      <c r="A158" s="14" t="s">
        <v>1099</v>
      </c>
      <c r="B158" s="14" t="s">
        <v>54</v>
      </c>
      <c r="C158" s="14" t="s">
        <v>73</v>
      </c>
      <c r="D158" s="15" t="n">
        <f aca="false">COUNTIF('Ngan hang cau hoi'!$P$2:$P$207,A158)</f>
        <v>1</v>
      </c>
    </row>
    <row r="159" customFormat="false" ht="15" hidden="false" customHeight="false" outlineLevel="0" collapsed="false">
      <c r="A159" s="16" t="s">
        <v>673</v>
      </c>
      <c r="B159" s="16" t="s">
        <v>54</v>
      </c>
      <c r="C159" s="16" t="s">
        <v>73</v>
      </c>
      <c r="D159" s="17" t="n">
        <f aca="false">COUNTIF('Ngan hang cau hoi'!$P$2:$P$207,A159)</f>
        <v>1</v>
      </c>
    </row>
    <row r="160" customFormat="false" ht="15" hidden="false" customHeight="false" outlineLevel="0" collapsed="false">
      <c r="A160" s="14" t="s">
        <v>1159</v>
      </c>
      <c r="B160" s="14" t="s">
        <v>54</v>
      </c>
      <c r="C160" s="14" t="s">
        <v>73</v>
      </c>
      <c r="D160" s="15" t="n">
        <f aca="false">COUNTIF('Ngan hang cau hoi'!$P$2:$P$207,A160)</f>
        <v>1</v>
      </c>
    </row>
    <row r="161" customFormat="false" ht="15" hidden="false" customHeight="false" outlineLevel="0" collapsed="false">
      <c r="A161" s="16" t="s">
        <v>734</v>
      </c>
      <c r="B161" s="16" t="s">
        <v>54</v>
      </c>
      <c r="C161" s="16" t="s">
        <v>73</v>
      </c>
      <c r="D161" s="17" t="n">
        <f aca="false">COUNTIF('Ngan hang cau hoi'!$P$2:$P$207,A161)</f>
        <v>1</v>
      </c>
    </row>
    <row r="162" customFormat="false" ht="15" hidden="false" customHeight="false" outlineLevel="0" collapsed="false">
      <c r="A162" s="14" t="s">
        <v>1090</v>
      </c>
      <c r="B162" s="14" t="s">
        <v>64</v>
      </c>
      <c r="C162" s="14" t="s">
        <v>73</v>
      </c>
      <c r="D162" s="15" t="n">
        <f aca="false">COUNTIF('Ngan hang cau hoi'!$P$2:$P$207,A162)</f>
        <v>1</v>
      </c>
    </row>
    <row r="163" customFormat="false" ht="15" hidden="false" customHeight="false" outlineLevel="0" collapsed="false">
      <c r="A163" s="16" t="s">
        <v>1410</v>
      </c>
      <c r="B163" s="16" t="s">
        <v>54</v>
      </c>
      <c r="C163" s="16" t="s">
        <v>45</v>
      </c>
      <c r="D163" s="17" t="n">
        <f aca="false">COUNTIF('Ngan hang cau hoi'!$P$2:$P$207,A163)</f>
        <v>1</v>
      </c>
    </row>
    <row r="164" customFormat="false" ht="15" hidden="false" customHeight="false" outlineLevel="0" collapsed="false">
      <c r="A164" s="14" t="s">
        <v>212</v>
      </c>
      <c r="B164" s="14" t="s">
        <v>54</v>
      </c>
      <c r="C164" s="14" t="s">
        <v>73</v>
      </c>
      <c r="D164" s="15" t="n">
        <f aca="false">COUNTIF('Ngan hang cau hoi'!$P$2:$P$207,A164)</f>
        <v>1</v>
      </c>
    </row>
    <row r="165" customFormat="false" ht="15" hidden="false" customHeight="false" outlineLevel="0" collapsed="false">
      <c r="A165" s="16" t="s">
        <v>1739</v>
      </c>
      <c r="B165" s="16" t="s">
        <v>54</v>
      </c>
      <c r="C165" s="16" t="s">
        <v>73</v>
      </c>
      <c r="D165" s="17" t="n">
        <f aca="false">COUNTIF('Ngan hang cau hoi'!$P$2:$P$207,A165)</f>
        <v>1</v>
      </c>
    </row>
    <row r="166" customFormat="false" ht="15" hidden="false" customHeight="false" outlineLevel="0" collapsed="false">
      <c r="A166" s="14" t="s">
        <v>143</v>
      </c>
      <c r="B166" s="14" t="s">
        <v>54</v>
      </c>
      <c r="C166" s="14" t="s">
        <v>73</v>
      </c>
      <c r="D166" s="15" t="n">
        <f aca="false">COUNTIF('Ngan hang cau hoi'!$P$2:$P$207,A166)</f>
        <v>1</v>
      </c>
    </row>
    <row r="167" customFormat="false" ht="15" hidden="false" customHeight="false" outlineLevel="0" collapsed="false">
      <c r="A167" s="16" t="s">
        <v>656</v>
      </c>
      <c r="B167" s="16" t="s">
        <v>54</v>
      </c>
      <c r="C167" s="16" t="s">
        <v>73</v>
      </c>
      <c r="D167" s="17" t="n">
        <f aca="false">COUNTIF('Ngan hang cau hoi'!$P$2:$P$207,A167)</f>
        <v>1</v>
      </c>
    </row>
    <row r="168" customFormat="false" ht="15" hidden="false" customHeight="false" outlineLevel="0" collapsed="false">
      <c r="A168" s="14" t="s">
        <v>776</v>
      </c>
      <c r="B168" s="14" t="s">
        <v>54</v>
      </c>
      <c r="C168" s="14" t="s">
        <v>73</v>
      </c>
      <c r="D168" s="15" t="n">
        <f aca="false">COUNTIF('Ngan hang cau hoi'!$P$2:$P$207,A168)</f>
        <v>1</v>
      </c>
    </row>
    <row r="169" customFormat="false" ht="15" hidden="false" customHeight="false" outlineLevel="0" collapsed="false">
      <c r="A169" s="16" t="s">
        <v>550</v>
      </c>
      <c r="B169" s="16" t="s">
        <v>64</v>
      </c>
      <c r="C169" s="16" t="s">
        <v>73</v>
      </c>
      <c r="D169" s="17" t="n">
        <f aca="false">COUNTIF('Ngan hang cau hoi'!$P$2:$P$207,A169)</f>
        <v>1</v>
      </c>
    </row>
    <row r="170" customFormat="false" ht="15" hidden="false" customHeight="false" outlineLevel="0" collapsed="false">
      <c r="A170" s="14" t="s">
        <v>820</v>
      </c>
      <c r="B170" s="14" t="s">
        <v>54</v>
      </c>
      <c r="C170" s="14" t="s">
        <v>73</v>
      </c>
      <c r="D170" s="15" t="n">
        <f aca="false">COUNTIF('Ngan hang cau hoi'!$P$2:$P$207,A170)</f>
        <v>1</v>
      </c>
    </row>
    <row r="171" customFormat="false" ht="15" hidden="false" customHeight="false" outlineLevel="0" collapsed="false">
      <c r="A171" s="16" t="s">
        <v>160</v>
      </c>
      <c r="B171" s="16" t="s">
        <v>54</v>
      </c>
      <c r="C171" s="16" t="s">
        <v>73</v>
      </c>
      <c r="D171" s="17" t="n">
        <f aca="false">COUNTIF('Ngan hang cau hoi'!$P$2:$P$207,A171)</f>
        <v>1</v>
      </c>
    </row>
    <row r="172" customFormat="false" ht="15" hidden="false" customHeight="false" outlineLevel="0" collapsed="false">
      <c r="A172" s="14" t="s">
        <v>526</v>
      </c>
      <c r="B172" s="14" t="s">
        <v>54</v>
      </c>
      <c r="C172" s="14" t="s">
        <v>45</v>
      </c>
      <c r="D172" s="15" t="n">
        <f aca="false">COUNTIF('Ngan hang cau hoi'!$P$2:$P$207,A172)</f>
        <v>1</v>
      </c>
    </row>
    <row r="173" customFormat="false" ht="15" hidden="false" customHeight="false" outlineLevel="0" collapsed="false">
      <c r="A173" s="16" t="s">
        <v>238</v>
      </c>
      <c r="B173" s="16" t="s">
        <v>54</v>
      </c>
      <c r="C173" s="16" t="s">
        <v>45</v>
      </c>
      <c r="D173" s="17" t="n">
        <f aca="false">COUNTIF('Ngan hang cau hoi'!$P$2:$P$207,A173)</f>
        <v>1</v>
      </c>
    </row>
    <row r="174" customFormat="false" ht="15" hidden="false" customHeight="false" outlineLevel="0" collapsed="false">
      <c r="A174" s="14" t="s">
        <v>811</v>
      </c>
      <c r="B174" s="14" t="s">
        <v>54</v>
      </c>
      <c r="C174" s="14" t="s">
        <v>73</v>
      </c>
      <c r="D174" s="15" t="n">
        <f aca="false">COUNTIF('Ngan hang cau hoi'!$P$2:$P$207,A174)</f>
        <v>1</v>
      </c>
    </row>
    <row r="175" customFormat="false" ht="15" hidden="false" customHeight="false" outlineLevel="0" collapsed="false">
      <c r="A175" s="16" t="s">
        <v>1597</v>
      </c>
      <c r="B175" s="16" t="s">
        <v>793</v>
      </c>
      <c r="C175" s="16" t="s">
        <v>45</v>
      </c>
      <c r="D175" s="17" t="n">
        <f aca="false">COUNTIF('Ngan hang cau hoi'!$P$2:$P$207,A175)</f>
        <v>1</v>
      </c>
    </row>
    <row r="176" customFormat="false" ht="15" hidden="false" customHeight="false" outlineLevel="0" collapsed="false">
      <c r="A176" s="14" t="s">
        <v>1522</v>
      </c>
      <c r="B176" s="14" t="s">
        <v>54</v>
      </c>
      <c r="C176" s="14" t="s">
        <v>45</v>
      </c>
      <c r="D176" s="15" t="n">
        <f aca="false">COUNTIF('Ngan hang cau hoi'!$P$2:$P$207,A176)</f>
        <v>1</v>
      </c>
    </row>
    <row r="177" customFormat="false" ht="15" hidden="false" customHeight="false" outlineLevel="0" collapsed="false">
      <c r="A177" s="16" t="s">
        <v>1215</v>
      </c>
      <c r="B177" s="16" t="s">
        <v>54</v>
      </c>
      <c r="C177" s="16" t="s">
        <v>45</v>
      </c>
      <c r="D177" s="17" t="n">
        <f aca="false">COUNTIF('Ngan hang cau hoi'!$P$2:$P$207,A177)</f>
        <v>1</v>
      </c>
    </row>
    <row r="178" customFormat="false" ht="15" hidden="false" customHeight="false" outlineLevel="0" collapsed="false">
      <c r="A178" s="14" t="s">
        <v>125</v>
      </c>
      <c r="B178" s="14" t="s">
        <v>44</v>
      </c>
      <c r="C178" s="14" t="s">
        <v>73</v>
      </c>
      <c r="D178" s="15" t="n">
        <f aca="false">COUNTIF('Ngan hang cau hoi'!$P$2:$P$207,A178)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2026-09-23T03:35:22Z</dcterms:created>
  <dc:creator>openpyxl</dc:creator>
  <dc:description/>
  <dc:language>en-US</dc:language>
  <cp:lastModifiedBy/>
  <dcterms:modified xsi:type="dcterms:W3CDTF">2026-09-23T03:35:22Z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